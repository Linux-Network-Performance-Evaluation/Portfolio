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autuni-my.sharepoint.com/personal/cgr2690_autuni_ac_nz/Documents/Data/COMP703/Linux Networking/04-Development-and-Quality-Assurance/Evaluation-Testing/Logs/Fedora/"/>
    </mc:Choice>
  </mc:AlternateContent>
  <xr:revisionPtr revIDLastSave="40" documentId="11_107F4D40C652DF2A2190C800EC9AC7EE6E8982F8" xr6:coauthVersionLast="47" xr6:coauthVersionMax="47" xr10:uidLastSave="{E188BC96-24BA-451A-8285-136E985A5FE6}"/>
  <bookViews>
    <workbookView xWindow="-120" yWindow="-120" windowWidth="38640" windowHeight="21120" activeTab="4" xr2:uid="{00000000-000D-0000-FFFF-FFFF00000000}"/>
  </bookViews>
  <sheets>
    <sheet name="Sheet1" sheetId="5" r:id="rId1"/>
    <sheet name="IPv4 - TCP" sheetId="1" r:id="rId2"/>
    <sheet name="IPv4 - UDP" sheetId="2" r:id="rId3"/>
    <sheet name="IPv6 - TCP" sheetId="3" r:id="rId4"/>
    <sheet name="IPv6 - UDP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9" i="4" l="1"/>
  <c r="R89" i="4"/>
  <c r="Q89" i="4"/>
  <c r="P89" i="4"/>
  <c r="O89" i="4"/>
  <c r="N89" i="4"/>
  <c r="M89" i="4"/>
  <c r="H89" i="4"/>
  <c r="G89" i="4"/>
  <c r="F89" i="4"/>
  <c r="E89" i="4"/>
  <c r="D89" i="4"/>
  <c r="C89" i="4"/>
  <c r="B89" i="4"/>
  <c r="S74" i="4"/>
  <c r="R74" i="4"/>
  <c r="Q74" i="4"/>
  <c r="P74" i="4"/>
  <c r="O74" i="4"/>
  <c r="N74" i="4"/>
  <c r="M74" i="4"/>
  <c r="H74" i="4"/>
  <c r="G74" i="4"/>
  <c r="F74" i="4"/>
  <c r="E74" i="4"/>
  <c r="D74" i="4"/>
  <c r="C74" i="4"/>
  <c r="B74" i="4"/>
  <c r="S59" i="4"/>
  <c r="R59" i="4"/>
  <c r="Q59" i="4"/>
  <c r="P59" i="4"/>
  <c r="O59" i="4"/>
  <c r="N59" i="4"/>
  <c r="M59" i="4"/>
  <c r="H59" i="4"/>
  <c r="G59" i="4"/>
  <c r="F59" i="4"/>
  <c r="E59" i="4"/>
  <c r="D59" i="4"/>
  <c r="C59" i="4"/>
  <c r="B59" i="4"/>
  <c r="S44" i="4"/>
  <c r="R44" i="4"/>
  <c r="Q44" i="4"/>
  <c r="P44" i="4"/>
  <c r="O44" i="4"/>
  <c r="N44" i="4"/>
  <c r="M44" i="4"/>
  <c r="H44" i="4"/>
  <c r="G44" i="4"/>
  <c r="F44" i="4"/>
  <c r="E44" i="4"/>
  <c r="D44" i="4"/>
  <c r="C44" i="4"/>
  <c r="B44" i="4"/>
  <c r="S29" i="4"/>
  <c r="R29" i="4"/>
  <c r="Q29" i="4"/>
  <c r="P29" i="4"/>
  <c r="O29" i="4"/>
  <c r="N29" i="4"/>
  <c r="M29" i="4"/>
  <c r="H29" i="4"/>
  <c r="G29" i="4"/>
  <c r="F29" i="4"/>
  <c r="E29" i="4"/>
  <c r="D29" i="4"/>
  <c r="C29" i="4"/>
  <c r="B29" i="4"/>
  <c r="Z15" i="4"/>
  <c r="Y15" i="4"/>
  <c r="X15" i="4"/>
  <c r="W15" i="4"/>
  <c r="Z14" i="4"/>
  <c r="Y14" i="4"/>
  <c r="X14" i="4"/>
  <c r="W14" i="4"/>
  <c r="S14" i="4"/>
  <c r="R14" i="4"/>
  <c r="Q14" i="4"/>
  <c r="P14" i="4"/>
  <c r="O14" i="4"/>
  <c r="N14" i="4"/>
  <c r="M14" i="4"/>
  <c r="H14" i="4"/>
  <c r="G14" i="4"/>
  <c r="F14" i="4"/>
  <c r="E14" i="4"/>
  <c r="D14" i="4"/>
  <c r="C14" i="4"/>
  <c r="B14" i="4"/>
  <c r="Z13" i="4"/>
  <c r="Y13" i="4"/>
  <c r="X13" i="4"/>
  <c r="W13" i="4"/>
  <c r="Z12" i="4"/>
  <c r="Y12" i="4"/>
  <c r="X12" i="4"/>
  <c r="W12" i="4"/>
  <c r="Z11" i="4"/>
  <c r="Y11" i="4"/>
  <c r="X11" i="4"/>
  <c r="W11" i="4"/>
  <c r="Z10" i="4"/>
  <c r="Y10" i="4"/>
  <c r="X10" i="4"/>
  <c r="W10" i="4"/>
  <c r="Z9" i="4"/>
  <c r="Y9" i="4"/>
  <c r="X9" i="4"/>
  <c r="W9" i="4"/>
  <c r="Z8" i="4"/>
  <c r="Y8" i="4"/>
  <c r="X8" i="4"/>
  <c r="W8" i="4"/>
  <c r="Z7" i="4"/>
  <c r="Y7" i="4"/>
  <c r="X7" i="4"/>
  <c r="W7" i="4"/>
  <c r="Z6" i="4"/>
  <c r="Y6" i="4"/>
  <c r="X6" i="4"/>
  <c r="W6" i="4"/>
  <c r="Z5" i="4"/>
  <c r="Y5" i="4"/>
  <c r="X5" i="4"/>
  <c r="W5" i="4"/>
  <c r="Z4" i="4"/>
  <c r="Y4" i="4"/>
  <c r="X4" i="4"/>
  <c r="W4" i="4"/>
  <c r="S89" i="3"/>
  <c r="R89" i="3"/>
  <c r="Q89" i="3"/>
  <c r="P89" i="3"/>
  <c r="O89" i="3"/>
  <c r="N89" i="3"/>
  <c r="M89" i="3"/>
  <c r="H89" i="3"/>
  <c r="G89" i="3"/>
  <c r="F89" i="3"/>
  <c r="E89" i="3"/>
  <c r="D89" i="3"/>
  <c r="C89" i="3"/>
  <c r="B89" i="3"/>
  <c r="S74" i="3"/>
  <c r="R74" i="3"/>
  <c r="Q74" i="3"/>
  <c r="P74" i="3"/>
  <c r="O74" i="3"/>
  <c r="N74" i="3"/>
  <c r="X14" i="3" s="1"/>
  <c r="M74" i="3"/>
  <c r="H74" i="3"/>
  <c r="G74" i="3"/>
  <c r="F74" i="3"/>
  <c r="E74" i="3"/>
  <c r="D74" i="3"/>
  <c r="C74" i="3"/>
  <c r="B74" i="3"/>
  <c r="S59" i="3"/>
  <c r="R59" i="3"/>
  <c r="Q59" i="3"/>
  <c r="P59" i="3"/>
  <c r="O59" i="3"/>
  <c r="N59" i="3"/>
  <c r="X13" i="3" s="1"/>
  <c r="M59" i="3"/>
  <c r="H59" i="3"/>
  <c r="G59" i="3"/>
  <c r="F59" i="3"/>
  <c r="E59" i="3"/>
  <c r="D59" i="3"/>
  <c r="C59" i="3"/>
  <c r="B59" i="3"/>
  <c r="S44" i="3"/>
  <c r="R44" i="3"/>
  <c r="Q44" i="3"/>
  <c r="P44" i="3"/>
  <c r="Z12" i="3" s="1"/>
  <c r="O44" i="3"/>
  <c r="N44" i="3"/>
  <c r="X12" i="3" s="1"/>
  <c r="M44" i="3"/>
  <c r="H44" i="3"/>
  <c r="G44" i="3"/>
  <c r="F44" i="3"/>
  <c r="E44" i="3"/>
  <c r="D44" i="3"/>
  <c r="C44" i="3"/>
  <c r="B44" i="3"/>
  <c r="S29" i="3"/>
  <c r="R29" i="3"/>
  <c r="Q29" i="3"/>
  <c r="P29" i="3"/>
  <c r="Z11" i="3" s="1"/>
  <c r="O29" i="3"/>
  <c r="N29" i="3"/>
  <c r="X11" i="3" s="1"/>
  <c r="M29" i="3"/>
  <c r="W11" i="3" s="1"/>
  <c r="H29" i="3"/>
  <c r="G29" i="3"/>
  <c r="F29" i="3"/>
  <c r="E29" i="3"/>
  <c r="D29" i="3"/>
  <c r="C29" i="3"/>
  <c r="B29" i="3"/>
  <c r="Z15" i="3"/>
  <c r="Y15" i="3"/>
  <c r="X15" i="3"/>
  <c r="W15" i="3"/>
  <c r="Z14" i="3"/>
  <c r="Y14" i="3"/>
  <c r="W14" i="3"/>
  <c r="S14" i="3"/>
  <c r="R14" i="3"/>
  <c r="Q14" i="3"/>
  <c r="P14" i="3"/>
  <c r="Z10" i="3" s="1"/>
  <c r="O14" i="3"/>
  <c r="Y10" i="3" s="1"/>
  <c r="N14" i="3"/>
  <c r="M14" i="3"/>
  <c r="H14" i="3"/>
  <c r="G14" i="3"/>
  <c r="F14" i="3"/>
  <c r="E14" i="3"/>
  <c r="D14" i="3"/>
  <c r="C14" i="3"/>
  <c r="B14" i="3"/>
  <c r="W4" i="3" s="1"/>
  <c r="Z13" i="3"/>
  <c r="Y13" i="3"/>
  <c r="W13" i="3"/>
  <c r="Y12" i="3"/>
  <c r="W12" i="3"/>
  <c r="Y11" i="3"/>
  <c r="X10" i="3"/>
  <c r="W10" i="3"/>
  <c r="Z9" i="3"/>
  <c r="Y9" i="3"/>
  <c r="X9" i="3"/>
  <c r="W9" i="3"/>
  <c r="Z8" i="3"/>
  <c r="Y8" i="3"/>
  <c r="X8" i="3"/>
  <c r="W8" i="3"/>
  <c r="Z7" i="3"/>
  <c r="Y7" i="3"/>
  <c r="X7" i="3"/>
  <c r="W7" i="3"/>
  <c r="Z6" i="3"/>
  <c r="Y6" i="3"/>
  <c r="X6" i="3"/>
  <c r="W6" i="3"/>
  <c r="Z5" i="3"/>
  <c r="Y5" i="3"/>
  <c r="X5" i="3"/>
  <c r="W5" i="3"/>
  <c r="Z4" i="3"/>
  <c r="Y4" i="3"/>
  <c r="X4" i="3"/>
  <c r="S89" i="2"/>
  <c r="R89" i="2"/>
  <c r="Q89" i="2"/>
  <c r="P89" i="2"/>
  <c r="Z15" i="2" s="1"/>
  <c r="O89" i="2"/>
  <c r="Y15" i="2" s="1"/>
  <c r="N89" i="2"/>
  <c r="X15" i="2" s="1"/>
  <c r="M89" i="2"/>
  <c r="H89" i="2"/>
  <c r="G89" i="2"/>
  <c r="F89" i="2"/>
  <c r="E89" i="2"/>
  <c r="Z9" i="2" s="1"/>
  <c r="D89" i="2"/>
  <c r="C89" i="2"/>
  <c r="B89" i="2"/>
  <c r="S74" i="2"/>
  <c r="R74" i="2"/>
  <c r="Q74" i="2"/>
  <c r="P74" i="2"/>
  <c r="O74" i="2"/>
  <c r="Y14" i="2" s="1"/>
  <c r="N74" i="2"/>
  <c r="M74" i="2"/>
  <c r="W14" i="2" s="1"/>
  <c r="H74" i="2"/>
  <c r="G74" i="2"/>
  <c r="F74" i="2"/>
  <c r="E74" i="2"/>
  <c r="D74" i="2"/>
  <c r="C74" i="2"/>
  <c r="X8" i="2" s="1"/>
  <c r="B74" i="2"/>
  <c r="S59" i="2"/>
  <c r="R59" i="2"/>
  <c r="Q59" i="2"/>
  <c r="P59" i="2"/>
  <c r="O59" i="2"/>
  <c r="N59" i="2"/>
  <c r="M59" i="2"/>
  <c r="H59" i="2"/>
  <c r="G59" i="2"/>
  <c r="F59" i="2"/>
  <c r="E59" i="2"/>
  <c r="D59" i="2"/>
  <c r="C59" i="2"/>
  <c r="B59" i="2"/>
  <c r="S44" i="2"/>
  <c r="R44" i="2"/>
  <c r="Q44" i="2"/>
  <c r="P44" i="2"/>
  <c r="O44" i="2"/>
  <c r="Y12" i="2" s="1"/>
  <c r="N44" i="2"/>
  <c r="X12" i="2" s="1"/>
  <c r="M44" i="2"/>
  <c r="H44" i="2"/>
  <c r="G44" i="2"/>
  <c r="F44" i="2"/>
  <c r="E44" i="2"/>
  <c r="D44" i="2"/>
  <c r="Y6" i="2" s="1"/>
  <c r="C44" i="2"/>
  <c r="B44" i="2"/>
  <c r="S29" i="2"/>
  <c r="R29" i="2"/>
  <c r="Q29" i="2"/>
  <c r="P29" i="2"/>
  <c r="O29" i="2"/>
  <c r="N29" i="2"/>
  <c r="M29" i="2"/>
  <c r="W11" i="2" s="1"/>
  <c r="H29" i="2"/>
  <c r="G29" i="2"/>
  <c r="F29" i="2"/>
  <c r="E29" i="2"/>
  <c r="D29" i="2"/>
  <c r="C29" i="2"/>
  <c r="B29" i="2"/>
  <c r="W5" i="2" s="1"/>
  <c r="W15" i="2"/>
  <c r="Z14" i="2"/>
  <c r="X14" i="2"/>
  <c r="S14" i="2"/>
  <c r="R14" i="2"/>
  <c r="Q14" i="2"/>
  <c r="P14" i="2"/>
  <c r="O14" i="2"/>
  <c r="Y10" i="2" s="1"/>
  <c r="N14" i="2"/>
  <c r="M14" i="2"/>
  <c r="W10" i="2" s="1"/>
  <c r="H14" i="2"/>
  <c r="G14" i="2"/>
  <c r="F14" i="2"/>
  <c r="E14" i="2"/>
  <c r="D14" i="2"/>
  <c r="C14" i="2"/>
  <c r="X4" i="2" s="1"/>
  <c r="B14" i="2"/>
  <c r="Z13" i="2"/>
  <c r="Y13" i="2"/>
  <c r="X13" i="2"/>
  <c r="W13" i="2"/>
  <c r="Z12" i="2"/>
  <c r="W12" i="2"/>
  <c r="Z11" i="2"/>
  <c r="Y11" i="2"/>
  <c r="X11" i="2"/>
  <c r="Z10" i="2"/>
  <c r="X10" i="2"/>
  <c r="Y9" i="2"/>
  <c r="X9" i="2"/>
  <c r="W9" i="2"/>
  <c r="Z8" i="2"/>
  <c r="Y8" i="2"/>
  <c r="W8" i="2"/>
  <c r="Z7" i="2"/>
  <c r="Y7" i="2"/>
  <c r="X7" i="2"/>
  <c r="W7" i="2"/>
  <c r="Z6" i="2"/>
  <c r="X6" i="2"/>
  <c r="W6" i="2"/>
  <c r="Z5" i="2"/>
  <c r="Y5" i="2"/>
  <c r="X5" i="2"/>
  <c r="Z4" i="2"/>
  <c r="Y4" i="2"/>
  <c r="W4" i="2"/>
  <c r="S89" i="1"/>
  <c r="R89" i="1"/>
  <c r="Q89" i="1"/>
  <c r="P89" i="1"/>
  <c r="O89" i="1"/>
  <c r="N89" i="1"/>
  <c r="X15" i="1" s="1"/>
  <c r="M89" i="1"/>
  <c r="W15" i="1" s="1"/>
  <c r="H89" i="1"/>
  <c r="G89" i="1"/>
  <c r="F89" i="1"/>
  <c r="E89" i="1"/>
  <c r="Z9" i="1" s="1"/>
  <c r="D89" i="1"/>
  <c r="C89" i="1"/>
  <c r="B89" i="1"/>
  <c r="S74" i="1"/>
  <c r="R74" i="1"/>
  <c r="Q74" i="1"/>
  <c r="P74" i="1"/>
  <c r="Z14" i="1" s="1"/>
  <c r="O74" i="1"/>
  <c r="N74" i="1"/>
  <c r="M74" i="1"/>
  <c r="H74" i="1"/>
  <c r="G74" i="1"/>
  <c r="F74" i="1"/>
  <c r="E74" i="1"/>
  <c r="D74" i="1"/>
  <c r="C74" i="1"/>
  <c r="X8" i="1" s="1"/>
  <c r="B74" i="1"/>
  <c r="S59" i="1"/>
  <c r="R59" i="1"/>
  <c r="Q59" i="1"/>
  <c r="P59" i="1"/>
  <c r="O59" i="1"/>
  <c r="Y13" i="1" s="1"/>
  <c r="N59" i="1"/>
  <c r="X13" i="1" s="1"/>
  <c r="M59" i="1"/>
  <c r="H59" i="1"/>
  <c r="G59" i="1"/>
  <c r="F59" i="1"/>
  <c r="E59" i="1"/>
  <c r="Z7" i="1" s="1"/>
  <c r="D59" i="1"/>
  <c r="C59" i="1"/>
  <c r="B59" i="1"/>
  <c r="W7" i="1" s="1"/>
  <c r="S44" i="1"/>
  <c r="R44" i="1"/>
  <c r="Q44" i="1"/>
  <c r="P44" i="1"/>
  <c r="O44" i="1"/>
  <c r="N44" i="1"/>
  <c r="M44" i="1"/>
  <c r="H44" i="1"/>
  <c r="G44" i="1"/>
  <c r="F44" i="1"/>
  <c r="E44" i="1"/>
  <c r="D44" i="1"/>
  <c r="C44" i="1"/>
  <c r="X6" i="1" s="1"/>
  <c r="B44" i="1"/>
  <c r="S29" i="1"/>
  <c r="R29" i="1"/>
  <c r="Q29" i="1"/>
  <c r="P29" i="1"/>
  <c r="Z11" i="1" s="1"/>
  <c r="O29" i="1"/>
  <c r="N29" i="1"/>
  <c r="M29" i="1"/>
  <c r="H29" i="1"/>
  <c r="G29" i="1"/>
  <c r="F29" i="1"/>
  <c r="E29" i="1"/>
  <c r="D29" i="1"/>
  <c r="C29" i="1"/>
  <c r="B29" i="1"/>
  <c r="W5" i="1" s="1"/>
  <c r="Z15" i="1"/>
  <c r="Y15" i="1"/>
  <c r="Y14" i="1"/>
  <c r="X14" i="1"/>
  <c r="W14" i="1"/>
  <c r="S14" i="1"/>
  <c r="R14" i="1"/>
  <c r="Q14" i="1"/>
  <c r="P14" i="1"/>
  <c r="Z10" i="1" s="1"/>
  <c r="O14" i="1"/>
  <c r="N14" i="1"/>
  <c r="M14" i="1"/>
  <c r="H14" i="1"/>
  <c r="G14" i="1"/>
  <c r="F14" i="1"/>
  <c r="E14" i="1"/>
  <c r="D14" i="1"/>
  <c r="C14" i="1"/>
  <c r="X4" i="1" s="1"/>
  <c r="B14" i="1"/>
  <c r="W4" i="1" s="1"/>
  <c r="Z13" i="1"/>
  <c r="W13" i="1"/>
  <c r="Z12" i="1"/>
  <c r="Y12" i="1"/>
  <c r="X12" i="1"/>
  <c r="W12" i="1"/>
  <c r="Y11" i="1"/>
  <c r="X11" i="1"/>
  <c r="W11" i="1"/>
  <c r="Y10" i="1"/>
  <c r="X10" i="1"/>
  <c r="W10" i="1"/>
  <c r="Y9" i="1"/>
  <c r="X9" i="1"/>
  <c r="W9" i="1"/>
  <c r="Z8" i="1"/>
  <c r="Y8" i="1"/>
  <c r="W8" i="1"/>
  <c r="Y7" i="1"/>
  <c r="X7" i="1"/>
  <c r="Z6" i="1"/>
  <c r="Y6" i="1"/>
  <c r="W6" i="1"/>
  <c r="Z5" i="1"/>
  <c r="Y5" i="1"/>
  <c r="X5" i="1"/>
  <c r="Z4" i="1"/>
  <c r="Y4" i="1"/>
</calcChain>
</file>

<file path=xl/sharedStrings.xml><?xml version="1.0" encoding="utf-8"?>
<sst xmlns="http://schemas.openxmlformats.org/spreadsheetml/2006/main" count="526" uniqueCount="39">
  <si>
    <t>IPv4</t>
  </si>
  <si>
    <t>IPv6</t>
  </si>
  <si>
    <t>IPv4 TCP</t>
  </si>
  <si>
    <t>IPv4 UDP</t>
  </si>
  <si>
    <t>IPv6 TCP</t>
  </si>
  <si>
    <t>IPv6 UDP</t>
  </si>
  <si>
    <t>Packet Size</t>
  </si>
  <si>
    <t>TCP Average Delay</t>
  </si>
  <si>
    <t>TCP Jitter</t>
  </si>
  <si>
    <t>TCP Bitrate</t>
  </si>
  <si>
    <t>TCP Packet Loss</t>
  </si>
  <si>
    <t>UDP Average Delay</t>
  </si>
  <si>
    <t>UDP Jitter</t>
  </si>
  <si>
    <t>UDP Bitrate</t>
  </si>
  <si>
    <t>UDP Packet Loss</t>
  </si>
  <si>
    <t>128</t>
  </si>
  <si>
    <t>896</t>
  </si>
  <si>
    <t>Flow #</t>
  </si>
  <si>
    <t>Average delay (s)</t>
  </si>
  <si>
    <t>Average jitter (s)</t>
  </si>
  <si>
    <t>Bitrate (Kbit/s)</t>
  </si>
  <si>
    <t>Packet Loss</t>
  </si>
  <si>
    <t>Minimum delay (s)</t>
  </si>
  <si>
    <t>Maximum delay (s)</t>
  </si>
  <si>
    <t>Average packet rate (pkt/s)</t>
  </si>
  <si>
    <t>Average Delay</t>
  </si>
  <si>
    <t>Jitter</t>
  </si>
  <si>
    <t>Bitrate</t>
  </si>
  <si>
    <t>Average</t>
  </si>
  <si>
    <t>256</t>
  </si>
  <si>
    <t>1024</t>
  </si>
  <si>
    <t>384</t>
  </si>
  <si>
    <t>1152</t>
  </si>
  <si>
    <t>512</t>
  </si>
  <si>
    <t>1280</t>
  </si>
  <si>
    <t>640</t>
  </si>
  <si>
    <t>1408</t>
  </si>
  <si>
    <t>768</t>
  </si>
  <si>
    <t>1536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</si>
</sst>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TCP Average Delay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Sheet1!$C$7:$C$18</c:f>
              <c:numCache>
                <c:formatCode>General</c:formatCode>
                <c:ptCount val="12"/>
                <c:pt idx="0">
                  <c:v>7.2359999999999992E-4</c:v>
                </c:pt>
                <c:pt idx="1">
                  <c:v>8.2509999999999994E-4</c:v>
                </c:pt>
                <c:pt idx="2">
                  <c:v>1.0847999999999999E-3</c:v>
                </c:pt>
                <c:pt idx="3">
                  <c:v>9.9679999999999994E-4</c:v>
                </c:pt>
                <c:pt idx="4">
                  <c:v>1.0141E-3</c:v>
                </c:pt>
                <c:pt idx="5">
                  <c:v>3.0998399999999992E-2</c:v>
                </c:pt>
                <c:pt idx="6">
                  <c:v>7.8593099999999999E-2</c:v>
                </c:pt>
                <c:pt idx="7">
                  <c:v>7.65232E-2</c:v>
                </c:pt>
                <c:pt idx="8">
                  <c:v>7.4549799999999999E-2</c:v>
                </c:pt>
                <c:pt idx="9">
                  <c:v>7.7366599999999994E-2</c:v>
                </c:pt>
                <c:pt idx="10">
                  <c:v>7.0046799999999992E-2</c:v>
                </c:pt>
                <c:pt idx="11">
                  <c:v>7.9024700000000003E-2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76-4DC2-A0C4-1385E2A1A454}"/>
            </c:ext>
          </c:extLst>
        </c:ser>
        <c:ser>
          <c:idx val="1"/>
          <c:order val="1"/>
          <c:tx>
            <c:strRef>
              <c:f>Sheet1!$I$6</c:f>
              <c:strCache>
                <c:ptCount val="1"/>
                <c:pt idx="0">
                  <c:v>UDP Average Delay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Sheet1!$I$7:$I$18</c:f>
              <c:numCache>
                <c:formatCode>General</c:formatCode>
                <c:ptCount val="12"/>
                <c:pt idx="0">
                  <c:v>2.0589999999999996E-4</c:v>
                </c:pt>
                <c:pt idx="1">
                  <c:v>2.163E-4</c:v>
                </c:pt>
                <c:pt idx="2">
                  <c:v>1.9569999999999999E-4</c:v>
                </c:pt>
                <c:pt idx="3">
                  <c:v>1.5990000000000004E-4</c:v>
                </c:pt>
                <c:pt idx="4">
                  <c:v>1.315E-4</c:v>
                </c:pt>
                <c:pt idx="5">
                  <c:v>4.7708000000000004E-3</c:v>
                </c:pt>
                <c:pt idx="6">
                  <c:v>5.4885000000000003E-3</c:v>
                </c:pt>
                <c:pt idx="7">
                  <c:v>6.2165000000000007E-3</c:v>
                </c:pt>
                <c:pt idx="8">
                  <c:v>7.0336999999999995E-3</c:v>
                </c:pt>
                <c:pt idx="9">
                  <c:v>8.0292999999999996E-3</c:v>
                </c:pt>
                <c:pt idx="10">
                  <c:v>8.6700000000000006E-3</c:v>
                </c:pt>
                <c:pt idx="11">
                  <c:v>6.9197000000000009E-3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76-4DC2-A0C4-1385E2A1A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680080"/>
        <c:axId val="1430684880"/>
      </c:lineChart>
      <c:catAx>
        <c:axId val="143068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84880"/>
        <c:crosses val="autoZero"/>
        <c:auto val="1"/>
        <c:lblAlgn val="ctr"/>
        <c:lblOffset val="100"/>
        <c:noMultiLvlLbl val="0"/>
      </c:catAx>
      <c:valAx>
        <c:axId val="143068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8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Jitter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Sheet1!$D$6</c:f>
              <c:strCache>
                <c:ptCount val="1"/>
                <c:pt idx="0">
                  <c:v>TCP Jitter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Sheet1!$D$7:$D$18</c:f>
              <c:numCache>
                <c:formatCode>General</c:formatCode>
                <c:ptCount val="12"/>
                <c:pt idx="0">
                  <c:v>9.8499999999999995E-5</c:v>
                </c:pt>
                <c:pt idx="1">
                  <c:v>9.0200000000000011E-5</c:v>
                </c:pt>
                <c:pt idx="2">
                  <c:v>8.7200000000000005E-5</c:v>
                </c:pt>
                <c:pt idx="3">
                  <c:v>8.3399999999999994E-5</c:v>
                </c:pt>
                <c:pt idx="4">
                  <c:v>8.4800000000000001E-5</c:v>
                </c:pt>
                <c:pt idx="5">
                  <c:v>1.3080000000000001E-4</c:v>
                </c:pt>
                <c:pt idx="6">
                  <c:v>1.4080000000000001E-4</c:v>
                </c:pt>
                <c:pt idx="7">
                  <c:v>1.6160000000000002E-4</c:v>
                </c:pt>
                <c:pt idx="8">
                  <c:v>1.8249999999999999E-4</c:v>
                </c:pt>
                <c:pt idx="9">
                  <c:v>2.028E-4</c:v>
                </c:pt>
                <c:pt idx="10">
                  <c:v>2.2330000000000001E-4</c:v>
                </c:pt>
                <c:pt idx="11">
                  <c:v>2.4389999999999997E-4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09-4410-8A8A-BCA095F9BA9F}"/>
            </c:ext>
          </c:extLst>
        </c:ser>
        <c:ser>
          <c:idx val="1"/>
          <c:order val="1"/>
          <c:tx>
            <c:strRef>
              <c:f>Sheet1!$J$6</c:f>
              <c:strCache>
                <c:ptCount val="1"/>
                <c:pt idx="0">
                  <c:v>UDP Jitter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Sheet1!$J$7:$J$18</c:f>
              <c:numCache>
                <c:formatCode>General</c:formatCode>
                <c:ptCount val="12"/>
                <c:pt idx="0">
                  <c:v>4.6700000000000003E-5</c:v>
                </c:pt>
                <c:pt idx="1">
                  <c:v>4.74E-5</c:v>
                </c:pt>
                <c:pt idx="2">
                  <c:v>4.3199999999999993E-5</c:v>
                </c:pt>
                <c:pt idx="3">
                  <c:v>3.4599999999999994E-5</c:v>
                </c:pt>
                <c:pt idx="4">
                  <c:v>2.5100000000000004E-5</c:v>
                </c:pt>
                <c:pt idx="5">
                  <c:v>1.9919999999999999E-4</c:v>
                </c:pt>
                <c:pt idx="6">
                  <c:v>3.9309999999999996E-4</c:v>
                </c:pt>
                <c:pt idx="7">
                  <c:v>5.6030000000000001E-4</c:v>
                </c:pt>
                <c:pt idx="8">
                  <c:v>7.2110000000000002E-4</c:v>
                </c:pt>
                <c:pt idx="9">
                  <c:v>8.7240000000000006E-4</c:v>
                </c:pt>
                <c:pt idx="10">
                  <c:v>1.0003999999999998E-3</c:v>
                </c:pt>
                <c:pt idx="11">
                  <c:v>8.9080000000000008E-4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09-4410-8A8A-BCA095F9B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766128"/>
        <c:axId val="1077764688"/>
      </c:lineChart>
      <c:catAx>
        <c:axId val="107776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764688"/>
        <c:crosses val="autoZero"/>
        <c:auto val="1"/>
        <c:lblAlgn val="ctr"/>
        <c:lblOffset val="100"/>
        <c:noMultiLvlLbl val="0"/>
      </c:catAx>
      <c:valAx>
        <c:axId val="107776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76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Bitrate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Sheet1!$E$6</c:f>
              <c:strCache>
                <c:ptCount val="1"/>
                <c:pt idx="0">
                  <c:v>TCP Bitrate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Sheet1!$E$7:$E$18</c:f>
              <c:numCache>
                <c:formatCode>General</c:formatCode>
                <c:ptCount val="12"/>
                <c:pt idx="0">
                  <c:v>17256.315150899998</c:v>
                </c:pt>
                <c:pt idx="1">
                  <c:v>34817.247834000002</c:v>
                </c:pt>
                <c:pt idx="2">
                  <c:v>52658.845018100008</c:v>
                </c:pt>
                <c:pt idx="3">
                  <c:v>70209.609850199995</c:v>
                </c:pt>
                <c:pt idx="4">
                  <c:v>88074.603510900008</c:v>
                </c:pt>
                <c:pt idx="5">
                  <c:v>93573.76610220001</c:v>
                </c:pt>
                <c:pt idx="6">
                  <c:v>93585.280355999988</c:v>
                </c:pt>
                <c:pt idx="7">
                  <c:v>93590.422033800001</c:v>
                </c:pt>
                <c:pt idx="8">
                  <c:v>93688.492517399995</c:v>
                </c:pt>
                <c:pt idx="9">
                  <c:v>93673.490805699999</c:v>
                </c:pt>
                <c:pt idx="10">
                  <c:v>93765.671388000017</c:v>
                </c:pt>
                <c:pt idx="11">
                  <c:v>93765.876326900005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BF-4A01-9389-FEBC670ACC7D}"/>
            </c:ext>
          </c:extLst>
        </c:ser>
        <c:ser>
          <c:idx val="1"/>
          <c:order val="1"/>
          <c:tx>
            <c:strRef>
              <c:f>Sheet1!$K$6</c:f>
              <c:strCache>
                <c:ptCount val="1"/>
                <c:pt idx="0">
                  <c:v>UDP Bitrate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Sheet1!$K$7:$K$18</c:f>
              <c:numCache>
                <c:formatCode>General</c:formatCode>
                <c:ptCount val="12"/>
                <c:pt idx="0">
                  <c:v>17435.310517700003</c:v>
                </c:pt>
                <c:pt idx="1">
                  <c:v>34915.159222400005</c:v>
                </c:pt>
                <c:pt idx="2">
                  <c:v>52344.406540999997</c:v>
                </c:pt>
                <c:pt idx="3">
                  <c:v>69896.078420400008</c:v>
                </c:pt>
                <c:pt idx="4">
                  <c:v>87271.564342499987</c:v>
                </c:pt>
                <c:pt idx="5">
                  <c:v>91048.274078000002</c:v>
                </c:pt>
                <c:pt idx="6">
                  <c:v>92362.020713700011</c:v>
                </c:pt>
                <c:pt idx="7">
                  <c:v>93272.619037100012</c:v>
                </c:pt>
                <c:pt idx="8">
                  <c:v>93965.6773579</c:v>
                </c:pt>
                <c:pt idx="9">
                  <c:v>94579.08427810001</c:v>
                </c:pt>
                <c:pt idx="10">
                  <c:v>95081.757291000016</c:v>
                </c:pt>
                <c:pt idx="11">
                  <c:v>91791.549937000003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BF-4A01-9389-FEBC670AC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5713120"/>
        <c:axId val="1575711200"/>
      </c:lineChart>
      <c:catAx>
        <c:axId val="157571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711200"/>
        <c:crosses val="autoZero"/>
        <c:auto val="1"/>
        <c:lblAlgn val="ctr"/>
        <c:lblOffset val="100"/>
        <c:noMultiLvlLbl val="0"/>
      </c:catAx>
      <c:valAx>
        <c:axId val="157571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71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Packetloss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Sheet1!$F$6</c:f>
              <c:strCache>
                <c:ptCount val="1"/>
                <c:pt idx="0">
                  <c:v>TCP Packet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Sheet1!$F$7:$F$18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F9-4127-A2A9-EA7A9ECDA8A6}"/>
            </c:ext>
          </c:extLst>
        </c:ser>
        <c:ser>
          <c:idx val="1"/>
          <c:order val="1"/>
          <c:tx>
            <c:strRef>
              <c:f>Sheet1!$L$6</c:f>
              <c:strCache>
                <c:ptCount val="1"/>
                <c:pt idx="0">
                  <c:v>UDP Packet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Sheet1!$B$7:$B$18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Sheet1!$L$7:$L$18</c:f>
              <c:numCache>
                <c:formatCode>General</c:formatCode>
                <c:ptCount val="12"/>
                <c:pt idx="0">
                  <c:v>0.10699999999999998</c:v>
                </c:pt>
                <c:pt idx="1">
                  <c:v>5.7000000000000009E-2</c:v>
                </c:pt>
                <c:pt idx="2">
                  <c:v>0</c:v>
                </c:pt>
                <c:pt idx="3">
                  <c:v>6.0000000000000012E-2</c:v>
                </c:pt>
                <c:pt idx="4">
                  <c:v>5.7000000000000009E-2</c:v>
                </c:pt>
                <c:pt idx="5">
                  <c:v>0.11000000000000001</c:v>
                </c:pt>
                <c:pt idx="6">
                  <c:v>5.1000000000000004E-2</c:v>
                </c:pt>
                <c:pt idx="7">
                  <c:v>5.7000000000000009E-2</c:v>
                </c:pt>
                <c:pt idx="8">
                  <c:v>9.3999999999999986E-2</c:v>
                </c:pt>
                <c:pt idx="9">
                  <c:v>9.6999999999999989E-2</c:v>
                </c:pt>
                <c:pt idx="10">
                  <c:v>0.63500000000000001</c:v>
                </c:pt>
                <c:pt idx="11">
                  <c:v>7.3999999999999996E-2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F9-4127-A2A9-EA7A9ECDA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637232"/>
        <c:axId val="1576640112"/>
      </c:lineChart>
      <c:catAx>
        <c:axId val="157663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40112"/>
        <c:crosses val="autoZero"/>
        <c:auto val="1"/>
        <c:lblAlgn val="ctr"/>
        <c:lblOffset val="100"/>
        <c:noMultiLvlLbl val="0"/>
      </c:catAx>
      <c:valAx>
        <c:axId val="157664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3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Sheet1!$T$6</c:f>
              <c:strCache>
                <c:ptCount val="1"/>
                <c:pt idx="0">
                  <c:v>TCP Average Delay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Sheet1!$T$7:$T$18</c:f>
              <c:numCache>
                <c:formatCode>General</c:formatCode>
                <c:ptCount val="12"/>
                <c:pt idx="0">
                  <c:v>2.9209999999999994E-4</c:v>
                </c:pt>
                <c:pt idx="1">
                  <c:v>2.143E-4</c:v>
                </c:pt>
                <c:pt idx="2">
                  <c:v>5.239E-4</c:v>
                </c:pt>
                <c:pt idx="3">
                  <c:v>5.3220000000000003E-4</c:v>
                </c:pt>
                <c:pt idx="4">
                  <c:v>6.508000000000001E-4</c:v>
                </c:pt>
                <c:pt idx="5">
                  <c:v>7.2300799999999998E-2</c:v>
                </c:pt>
                <c:pt idx="6">
                  <c:v>7.5978000000000004E-2</c:v>
                </c:pt>
                <c:pt idx="7">
                  <c:v>7.9387299999999994E-2</c:v>
                </c:pt>
                <c:pt idx="8">
                  <c:v>7.2205799999999987E-2</c:v>
                </c:pt>
                <c:pt idx="9">
                  <c:v>7.3684999999999987E-2</c:v>
                </c:pt>
                <c:pt idx="10">
                  <c:v>7.3355099999999979E-2</c:v>
                </c:pt>
                <c:pt idx="11">
                  <c:v>6.7594399999999999E-2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22-46C1-9AB0-4CDE3EAFB407}"/>
            </c:ext>
          </c:extLst>
        </c:ser>
        <c:ser>
          <c:idx val="1"/>
          <c:order val="1"/>
          <c:tx>
            <c:strRef>
              <c:f>Sheet1!$Z$6</c:f>
              <c:strCache>
                <c:ptCount val="1"/>
                <c:pt idx="0">
                  <c:v>UDP Average Delay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Sheet1!$Z$7:$Z$18</c:f>
              <c:numCache>
                <c:formatCode>General</c:formatCode>
                <c:ptCount val="12"/>
                <c:pt idx="0">
                  <c:v>1.5420000000000001E-4</c:v>
                </c:pt>
                <c:pt idx="1">
                  <c:v>1.6480000000000002E-4</c:v>
                </c:pt>
                <c:pt idx="2">
                  <c:v>1.819E-4</c:v>
                </c:pt>
                <c:pt idx="3">
                  <c:v>1.8519999999999998E-4</c:v>
                </c:pt>
                <c:pt idx="4">
                  <c:v>1.9709999999999997E-4</c:v>
                </c:pt>
                <c:pt idx="5">
                  <c:v>4.8852999999999995E-3</c:v>
                </c:pt>
                <c:pt idx="6">
                  <c:v>5.6530999999999994E-3</c:v>
                </c:pt>
                <c:pt idx="7">
                  <c:v>6.3727000000000002E-3</c:v>
                </c:pt>
                <c:pt idx="8">
                  <c:v>7.0524000000000003E-3</c:v>
                </c:pt>
                <c:pt idx="9">
                  <c:v>8.0151000000000007E-3</c:v>
                </c:pt>
                <c:pt idx="10">
                  <c:v>8.760399999999998E-3</c:v>
                </c:pt>
                <c:pt idx="11">
                  <c:v>7.0329999999999993E-3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22-46C1-9AB0-4CDE3EAFB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876064"/>
        <c:axId val="1584873664"/>
      </c:lineChart>
      <c:catAx>
        <c:axId val="158487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873664"/>
        <c:crosses val="autoZero"/>
        <c:auto val="1"/>
        <c:lblAlgn val="ctr"/>
        <c:lblOffset val="100"/>
        <c:noMultiLvlLbl val="0"/>
      </c:catAx>
      <c:valAx>
        <c:axId val="158487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87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Jitter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Sheet1!$U$6</c:f>
              <c:strCache>
                <c:ptCount val="1"/>
                <c:pt idx="0">
                  <c:v>TCP Jitter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Sheet1!$U$7:$U$18</c:f>
              <c:numCache>
                <c:formatCode>General</c:formatCode>
                <c:ptCount val="12"/>
                <c:pt idx="0">
                  <c:v>9.8299999999999991E-5</c:v>
                </c:pt>
                <c:pt idx="1">
                  <c:v>9.0600000000000007E-5</c:v>
                </c:pt>
                <c:pt idx="2">
                  <c:v>8.740000000000001E-5</c:v>
                </c:pt>
                <c:pt idx="3">
                  <c:v>8.379999999999999E-5</c:v>
                </c:pt>
                <c:pt idx="4">
                  <c:v>8.4599999999999996E-5</c:v>
                </c:pt>
                <c:pt idx="5">
                  <c:v>1.2000000000000002E-4</c:v>
                </c:pt>
                <c:pt idx="6">
                  <c:v>1.4090000000000004E-4</c:v>
                </c:pt>
                <c:pt idx="7">
                  <c:v>1.6150000000000002E-4</c:v>
                </c:pt>
                <c:pt idx="8">
                  <c:v>1.9719999999999997E-4</c:v>
                </c:pt>
                <c:pt idx="9">
                  <c:v>2.0259999999999999E-4</c:v>
                </c:pt>
                <c:pt idx="10">
                  <c:v>2.2300000000000003E-4</c:v>
                </c:pt>
                <c:pt idx="11">
                  <c:v>2.4419999999999997E-4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2-4147-A963-7CDE54B7E79B}"/>
            </c:ext>
          </c:extLst>
        </c:ser>
        <c:ser>
          <c:idx val="1"/>
          <c:order val="1"/>
          <c:tx>
            <c:strRef>
              <c:f>Sheet1!$AA$6</c:f>
              <c:strCache>
                <c:ptCount val="1"/>
                <c:pt idx="0">
                  <c:v>UDP Jitter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Sheet1!$AA$7:$AA$18</c:f>
              <c:numCache>
                <c:formatCode>General</c:formatCode>
                <c:ptCount val="12"/>
                <c:pt idx="0">
                  <c:v>4.6799999999999999E-5</c:v>
                </c:pt>
                <c:pt idx="1">
                  <c:v>4.74E-5</c:v>
                </c:pt>
                <c:pt idx="2">
                  <c:v>4.2999999999999995E-5</c:v>
                </c:pt>
                <c:pt idx="3">
                  <c:v>3.469999999999999E-5</c:v>
                </c:pt>
                <c:pt idx="4">
                  <c:v>2.5700000000000001E-5</c:v>
                </c:pt>
                <c:pt idx="5">
                  <c:v>2.006E-4</c:v>
                </c:pt>
                <c:pt idx="6">
                  <c:v>3.9250000000000005E-4</c:v>
                </c:pt>
                <c:pt idx="7">
                  <c:v>5.7340000000000006E-4</c:v>
                </c:pt>
                <c:pt idx="8">
                  <c:v>7.2219999999999988E-4</c:v>
                </c:pt>
                <c:pt idx="9">
                  <c:v>8.6630000000000008E-4</c:v>
                </c:pt>
                <c:pt idx="10">
                  <c:v>1.0061E-3</c:v>
                </c:pt>
                <c:pt idx="11">
                  <c:v>9.0839999999999985E-4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F2-4147-A963-7CDE54B7E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6063408"/>
        <c:axId val="1586059088"/>
      </c:lineChart>
      <c:catAx>
        <c:axId val="158606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059088"/>
        <c:crosses val="autoZero"/>
        <c:auto val="1"/>
        <c:lblAlgn val="ctr"/>
        <c:lblOffset val="100"/>
        <c:noMultiLvlLbl val="0"/>
      </c:catAx>
      <c:valAx>
        <c:axId val="158605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06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Bitrate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Sheet1!$V$6</c:f>
              <c:strCache>
                <c:ptCount val="1"/>
                <c:pt idx="0">
                  <c:v>TCP Bitrate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Sheet1!$V$7:$V$18</c:f>
              <c:numCache>
                <c:formatCode>General</c:formatCode>
                <c:ptCount val="12"/>
                <c:pt idx="0">
                  <c:v>17285.4704256</c:v>
                </c:pt>
                <c:pt idx="1">
                  <c:v>34742.640471700004</c:v>
                </c:pt>
                <c:pt idx="2">
                  <c:v>52647.752098900011</c:v>
                </c:pt>
                <c:pt idx="3">
                  <c:v>70144.505238900005</c:v>
                </c:pt>
                <c:pt idx="4">
                  <c:v>88111.761972799985</c:v>
                </c:pt>
                <c:pt idx="5">
                  <c:v>93569.566221899979</c:v>
                </c:pt>
                <c:pt idx="6">
                  <c:v>93587.658056999993</c:v>
                </c:pt>
                <c:pt idx="7">
                  <c:v>93636.839030200004</c:v>
                </c:pt>
                <c:pt idx="8">
                  <c:v>93681.944805900013</c:v>
                </c:pt>
                <c:pt idx="9">
                  <c:v>93674.545755200001</c:v>
                </c:pt>
                <c:pt idx="10">
                  <c:v>93781.402425500011</c:v>
                </c:pt>
                <c:pt idx="11">
                  <c:v>93687.49505160001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11-44E7-8DA9-B99CF5B127BE}"/>
            </c:ext>
          </c:extLst>
        </c:ser>
        <c:ser>
          <c:idx val="1"/>
          <c:order val="1"/>
          <c:tx>
            <c:strRef>
              <c:f>Sheet1!$AB$6</c:f>
              <c:strCache>
                <c:ptCount val="1"/>
                <c:pt idx="0">
                  <c:v>UDP Bitrate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Sheet1!$AB$7:$AB$18</c:f>
              <c:numCache>
                <c:formatCode>General</c:formatCode>
                <c:ptCount val="12"/>
                <c:pt idx="0">
                  <c:v>17441.410725599999</c:v>
                </c:pt>
                <c:pt idx="1">
                  <c:v>34998.493380799999</c:v>
                </c:pt>
                <c:pt idx="2">
                  <c:v>52334.377150700006</c:v>
                </c:pt>
                <c:pt idx="3">
                  <c:v>69688.371934500014</c:v>
                </c:pt>
                <c:pt idx="4">
                  <c:v>87140.479672600006</c:v>
                </c:pt>
                <c:pt idx="5">
                  <c:v>91118.011056499992</c:v>
                </c:pt>
                <c:pt idx="6">
                  <c:v>92349.513983000012</c:v>
                </c:pt>
                <c:pt idx="7">
                  <c:v>93249.317132299999</c:v>
                </c:pt>
                <c:pt idx="8">
                  <c:v>94051.6417354</c:v>
                </c:pt>
                <c:pt idx="9">
                  <c:v>94605.045483599984</c:v>
                </c:pt>
                <c:pt idx="10">
                  <c:v>95136.348111300002</c:v>
                </c:pt>
                <c:pt idx="11">
                  <c:v>91852.909458000009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11-44E7-8DA9-B99CF5B12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962528"/>
        <c:axId val="1431967328"/>
      </c:lineChart>
      <c:catAx>
        <c:axId val="143196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67328"/>
        <c:crosses val="autoZero"/>
        <c:auto val="1"/>
        <c:lblAlgn val="ctr"/>
        <c:lblOffset val="100"/>
        <c:noMultiLvlLbl val="0"/>
      </c:catAx>
      <c:valAx>
        <c:axId val="143196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6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Packetloss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Sheet1!$W$6</c:f>
              <c:strCache>
                <c:ptCount val="1"/>
                <c:pt idx="0">
                  <c:v>TCP Packet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Sheet1!$W$7:$W$18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FB-4C1A-A9A6-5D758A1C0568}"/>
            </c:ext>
          </c:extLst>
        </c:ser>
        <c:ser>
          <c:idx val="1"/>
          <c:order val="1"/>
          <c:tx>
            <c:strRef>
              <c:f>Sheet1!$AC$6</c:f>
              <c:strCache>
                <c:ptCount val="1"/>
                <c:pt idx="0">
                  <c:v>UDP Packet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Sheet1!$S$7:$S$18</c:f>
              <c:numCache>
                <c:formatCode>General</c:formatCode>
                <c:ptCount val="12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640</c:v>
                </c:pt>
                <c:pt idx="5">
                  <c:v>768</c:v>
                </c:pt>
                <c:pt idx="6">
                  <c:v>896</c:v>
                </c:pt>
                <c:pt idx="7">
                  <c:v>1024</c:v>
                </c:pt>
                <c:pt idx="8">
                  <c:v>1152</c:v>
                </c:pt>
                <c:pt idx="9">
                  <c:v>1280</c:v>
                </c:pt>
                <c:pt idx="10">
                  <c:v>1408</c:v>
                </c:pt>
                <c:pt idx="11">
                  <c:v>1536</c:v>
                </c:pt>
              </c:numCache>
            </c:numRef>
          </c:cat>
          <c:val>
            <c:numRef>
              <c:f>Sheet1!$AC$7:$AC$18</c:f>
              <c:numCache>
                <c:formatCode>General</c:formatCode>
                <c:ptCount val="12"/>
                <c:pt idx="0">
                  <c:v>0.09</c:v>
                </c:pt>
                <c:pt idx="1">
                  <c:v>6.0000000000000012E-2</c:v>
                </c:pt>
                <c:pt idx="2">
                  <c:v>7.1000000000000008E-2</c:v>
                </c:pt>
                <c:pt idx="3">
                  <c:v>6.4000000000000015E-2</c:v>
                </c:pt>
                <c:pt idx="4">
                  <c:v>0.10300000000000001</c:v>
                </c:pt>
                <c:pt idx="5">
                  <c:v>5.6000000000000008E-2</c:v>
                </c:pt>
                <c:pt idx="6">
                  <c:v>5.9000000000000011E-2</c:v>
                </c:pt>
                <c:pt idx="7">
                  <c:v>0.09</c:v>
                </c:pt>
                <c:pt idx="8">
                  <c:v>3.9999999999999994E-2</c:v>
                </c:pt>
                <c:pt idx="9">
                  <c:v>8.199999999999999E-2</c:v>
                </c:pt>
                <c:pt idx="10">
                  <c:v>0.27</c:v>
                </c:pt>
                <c:pt idx="11">
                  <c:v>2.4E-2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FB-4C1A-A9A6-5D758A1C0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0509488"/>
        <c:axId val="1770506608"/>
      </c:lineChart>
      <c:catAx>
        <c:axId val="177050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506608"/>
        <c:crosses val="autoZero"/>
        <c:auto val="1"/>
        <c:lblAlgn val="ctr"/>
        <c:lblOffset val="100"/>
        <c:noMultiLvlLbl val="0"/>
      </c:catAx>
      <c:valAx>
        <c:axId val="177050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50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19</xdr:row>
      <xdr:rowOff>4762</xdr:rowOff>
    </xdr:from>
    <xdr:to>
      <xdr:col>8</xdr:col>
      <xdr:colOff>47625</xdr:colOff>
      <xdr:row>33</xdr:row>
      <xdr:rowOff>80962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8949C8C-6DD4-C566-AAE1-C2FE17CA2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333375</xdr:colOff>
      <xdr:row>33</xdr:row>
      <xdr:rowOff>128587</xdr:rowOff>
    </xdr:from>
    <xdr:to>
      <xdr:col>8</xdr:col>
      <xdr:colOff>28575</xdr:colOff>
      <xdr:row>48</xdr:row>
      <xdr:rowOff>14287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21F3D0C-09A5-908E-A4D1-2C628567A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109537</xdr:colOff>
      <xdr:row>18</xdr:row>
      <xdr:rowOff>185737</xdr:rowOff>
    </xdr:from>
    <xdr:to>
      <xdr:col>15</xdr:col>
      <xdr:colOff>414337</xdr:colOff>
      <xdr:row>33</xdr:row>
      <xdr:rowOff>71437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012D10-0100-E9F0-5EC3-81D825F53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80962</xdr:colOff>
      <xdr:row>33</xdr:row>
      <xdr:rowOff>138112</xdr:rowOff>
    </xdr:from>
    <xdr:to>
      <xdr:col>15</xdr:col>
      <xdr:colOff>385762</xdr:colOff>
      <xdr:row>48</xdr:row>
      <xdr:rowOff>23812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804F894-F708-A3F1-1B21-E66DF4D6C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33337</xdr:colOff>
      <xdr:row>19</xdr:row>
      <xdr:rowOff>33337</xdr:rowOff>
    </xdr:from>
    <xdr:to>
      <xdr:col>25</xdr:col>
      <xdr:colOff>338137</xdr:colOff>
      <xdr:row>33</xdr:row>
      <xdr:rowOff>109537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0473188-46F5-A321-7D3F-D35E72C76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33337</xdr:colOff>
      <xdr:row>33</xdr:row>
      <xdr:rowOff>138112</xdr:rowOff>
    </xdr:from>
    <xdr:to>
      <xdr:col>25</xdr:col>
      <xdr:colOff>338137</xdr:colOff>
      <xdr:row>48</xdr:row>
      <xdr:rowOff>23812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96A0DFA-CE53-DA68-EFEF-3AE9842A0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385762</xdr:colOff>
      <xdr:row>19</xdr:row>
      <xdr:rowOff>23812</xdr:rowOff>
    </xdr:from>
    <xdr:to>
      <xdr:col>33</xdr:col>
      <xdr:colOff>80962</xdr:colOff>
      <xdr:row>33</xdr:row>
      <xdr:rowOff>100012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4FB1268-ECE7-2DFF-8BAA-A90D4BF4D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328612</xdr:colOff>
      <xdr:row>33</xdr:row>
      <xdr:rowOff>147637</xdr:rowOff>
    </xdr:from>
    <xdr:to>
      <xdr:col>33</xdr:col>
      <xdr:colOff>23812</xdr:colOff>
      <xdr:row>48</xdr:row>
      <xdr:rowOff>33337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537F86D-95C4-3115-D809-4529CA922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7D07-17FC-4E13-80CE-BD2BDD98C521}">
  <dimension ref="B2:AG18"/>
  <sheetViews>
    <sheetView topLeftCell="B1" workbookViewId="0">
      <selection activeCell="AL32" sqref="AL32"/>
    </sheetView>
  </sheetViews>
  <sheetFormatPr defaultRowHeight="15"/>
  <cols>
    <col min="17" max="18" width="9.140625" style="1"/>
  </cols>
  <sheetData>
    <row r="2" spans="2:33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T2" s="2" t="s">
        <v>1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2:3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5" spans="2:33" ht="15" customHeight="1">
      <c r="B5" s="3" t="s">
        <v>2</v>
      </c>
      <c r="C5" s="3"/>
      <c r="D5" s="3"/>
      <c r="E5" s="3"/>
      <c r="F5" s="3"/>
      <c r="H5" s="3" t="s">
        <v>3</v>
      </c>
      <c r="I5" s="3"/>
      <c r="J5" s="3"/>
      <c r="K5" s="3"/>
      <c r="L5" s="3"/>
      <c r="S5" s="3" t="s">
        <v>4</v>
      </c>
      <c r="T5" s="3"/>
      <c r="U5" s="3"/>
      <c r="V5" s="3"/>
      <c r="W5" s="3"/>
      <c r="Y5" s="3" t="s">
        <v>5</v>
      </c>
      <c r="Z5" s="3"/>
      <c r="AA5" s="3"/>
      <c r="AB5" s="3"/>
      <c r="AC5" s="3"/>
    </row>
    <row r="6" spans="2:33">
      <c r="B6" t="s">
        <v>6</v>
      </c>
      <c r="C6" t="s">
        <v>7</v>
      </c>
      <c r="D6" t="s">
        <v>8</v>
      </c>
      <c r="E6" t="s">
        <v>9</v>
      </c>
      <c r="F6" t="s">
        <v>10</v>
      </c>
      <c r="H6" t="s">
        <v>6</v>
      </c>
      <c r="I6" t="s">
        <v>11</v>
      </c>
      <c r="J6" t="s">
        <v>12</v>
      </c>
      <c r="K6" t="s">
        <v>13</v>
      </c>
      <c r="L6" t="s">
        <v>14</v>
      </c>
      <c r="S6" t="s">
        <v>6</v>
      </c>
      <c r="T6" t="s">
        <v>7</v>
      </c>
      <c r="U6" t="s">
        <v>8</v>
      </c>
      <c r="V6" t="s">
        <v>9</v>
      </c>
      <c r="W6" t="s">
        <v>10</v>
      </c>
      <c r="Y6" t="s">
        <v>6</v>
      </c>
      <c r="Z6" t="s">
        <v>11</v>
      </c>
      <c r="AA6" t="s">
        <v>12</v>
      </c>
      <c r="AB6" t="s">
        <v>13</v>
      </c>
      <c r="AC6" t="s">
        <v>14</v>
      </c>
    </row>
    <row r="7" spans="2:33">
      <c r="B7">
        <v>128</v>
      </c>
      <c r="C7">
        <v>7.2359999999999992E-4</v>
      </c>
      <c r="D7">
        <v>9.8499999999999995E-5</v>
      </c>
      <c r="E7">
        <v>17256.315150899998</v>
      </c>
      <c r="F7">
        <v>0</v>
      </c>
      <c r="H7">
        <v>128</v>
      </c>
      <c r="I7">
        <v>2.0589999999999996E-4</v>
      </c>
      <c r="J7">
        <v>4.6700000000000003E-5</v>
      </c>
      <c r="K7">
        <v>17435.310517700003</v>
      </c>
      <c r="L7">
        <v>0.10699999999999998</v>
      </c>
      <c r="S7">
        <v>128</v>
      </c>
      <c r="T7">
        <v>2.9209999999999994E-4</v>
      </c>
      <c r="U7">
        <v>9.8299999999999991E-5</v>
      </c>
      <c r="V7">
        <v>17285.4704256</v>
      </c>
      <c r="W7">
        <v>0</v>
      </c>
      <c r="Y7">
        <v>128</v>
      </c>
      <c r="Z7">
        <v>1.5420000000000001E-4</v>
      </c>
      <c r="AA7">
        <v>4.6799999999999999E-5</v>
      </c>
      <c r="AB7">
        <v>17441.410725599999</v>
      </c>
      <c r="AC7">
        <v>0.09</v>
      </c>
    </row>
    <row r="8" spans="2:33">
      <c r="B8">
        <v>256</v>
      </c>
      <c r="C8">
        <v>8.2509999999999994E-4</v>
      </c>
      <c r="D8">
        <v>9.0200000000000011E-5</v>
      </c>
      <c r="E8">
        <v>34817.247834000002</v>
      </c>
      <c r="F8">
        <v>0</v>
      </c>
      <c r="H8">
        <v>256</v>
      </c>
      <c r="I8">
        <v>2.163E-4</v>
      </c>
      <c r="J8">
        <v>4.74E-5</v>
      </c>
      <c r="K8">
        <v>34915.159222400005</v>
      </c>
      <c r="L8">
        <v>5.7000000000000009E-2</v>
      </c>
      <c r="S8">
        <v>256</v>
      </c>
      <c r="T8">
        <v>2.143E-4</v>
      </c>
      <c r="U8">
        <v>9.0600000000000007E-5</v>
      </c>
      <c r="V8">
        <v>34742.640471700004</v>
      </c>
      <c r="W8">
        <v>0</v>
      </c>
      <c r="Y8">
        <v>256</v>
      </c>
      <c r="Z8">
        <v>1.6480000000000002E-4</v>
      </c>
      <c r="AA8">
        <v>4.74E-5</v>
      </c>
      <c r="AB8">
        <v>34998.493380799999</v>
      </c>
      <c r="AC8">
        <v>6.0000000000000012E-2</v>
      </c>
    </row>
    <row r="9" spans="2:33">
      <c r="B9">
        <v>384</v>
      </c>
      <c r="C9">
        <v>1.0847999999999999E-3</v>
      </c>
      <c r="D9">
        <v>8.7200000000000005E-5</v>
      </c>
      <c r="E9">
        <v>52658.845018100008</v>
      </c>
      <c r="F9">
        <v>0</v>
      </c>
      <c r="H9">
        <v>384</v>
      </c>
      <c r="I9">
        <v>1.9569999999999999E-4</v>
      </c>
      <c r="J9">
        <v>4.3199999999999993E-5</v>
      </c>
      <c r="K9">
        <v>52344.406540999997</v>
      </c>
      <c r="L9">
        <v>0</v>
      </c>
      <c r="S9">
        <v>384</v>
      </c>
      <c r="T9">
        <v>5.239E-4</v>
      </c>
      <c r="U9">
        <v>8.740000000000001E-5</v>
      </c>
      <c r="V9">
        <v>52647.752098900011</v>
      </c>
      <c r="W9">
        <v>0</v>
      </c>
      <c r="Y9">
        <v>384</v>
      </c>
      <c r="Z9">
        <v>1.819E-4</v>
      </c>
      <c r="AA9">
        <v>4.2999999999999995E-5</v>
      </c>
      <c r="AB9">
        <v>52334.377150700006</v>
      </c>
      <c r="AC9">
        <v>7.1000000000000008E-2</v>
      </c>
    </row>
    <row r="10" spans="2:33">
      <c r="B10">
        <v>512</v>
      </c>
      <c r="C10">
        <v>9.9679999999999994E-4</v>
      </c>
      <c r="D10">
        <v>8.3399999999999994E-5</v>
      </c>
      <c r="E10">
        <v>70209.609850199995</v>
      </c>
      <c r="F10">
        <v>0</v>
      </c>
      <c r="H10">
        <v>512</v>
      </c>
      <c r="I10">
        <v>1.5990000000000004E-4</v>
      </c>
      <c r="J10">
        <v>3.4599999999999994E-5</v>
      </c>
      <c r="K10">
        <v>69896.078420400008</v>
      </c>
      <c r="L10">
        <v>6.0000000000000012E-2</v>
      </c>
      <c r="S10">
        <v>512</v>
      </c>
      <c r="T10">
        <v>5.3220000000000003E-4</v>
      </c>
      <c r="U10">
        <v>8.379999999999999E-5</v>
      </c>
      <c r="V10">
        <v>70144.505238900005</v>
      </c>
      <c r="W10">
        <v>0</v>
      </c>
      <c r="Y10">
        <v>512</v>
      </c>
      <c r="Z10">
        <v>1.8519999999999998E-4</v>
      </c>
      <c r="AA10">
        <v>3.469999999999999E-5</v>
      </c>
      <c r="AB10">
        <v>69688.371934500014</v>
      </c>
      <c r="AC10">
        <v>6.4000000000000015E-2</v>
      </c>
    </row>
    <row r="11" spans="2:33">
      <c r="B11">
        <v>640</v>
      </c>
      <c r="C11">
        <v>1.0141E-3</v>
      </c>
      <c r="D11">
        <v>8.4800000000000001E-5</v>
      </c>
      <c r="E11">
        <v>88074.603510900008</v>
      </c>
      <c r="F11">
        <v>0</v>
      </c>
      <c r="H11">
        <v>640</v>
      </c>
      <c r="I11">
        <v>1.315E-4</v>
      </c>
      <c r="J11">
        <v>2.5100000000000004E-5</v>
      </c>
      <c r="K11">
        <v>87271.564342499987</v>
      </c>
      <c r="L11">
        <v>5.7000000000000009E-2</v>
      </c>
      <c r="S11">
        <v>640</v>
      </c>
      <c r="T11">
        <v>6.508000000000001E-4</v>
      </c>
      <c r="U11">
        <v>8.4599999999999996E-5</v>
      </c>
      <c r="V11">
        <v>88111.761972799985</v>
      </c>
      <c r="W11">
        <v>0</v>
      </c>
      <c r="Y11">
        <v>640</v>
      </c>
      <c r="Z11">
        <v>1.9709999999999997E-4</v>
      </c>
      <c r="AA11">
        <v>2.5700000000000001E-5</v>
      </c>
      <c r="AB11">
        <v>87140.479672600006</v>
      </c>
      <c r="AC11">
        <v>0.10300000000000001</v>
      </c>
    </row>
    <row r="12" spans="2:33">
      <c r="B12">
        <v>768</v>
      </c>
      <c r="C12">
        <v>3.0998399999999992E-2</v>
      </c>
      <c r="D12">
        <v>1.3080000000000001E-4</v>
      </c>
      <c r="E12">
        <v>93573.76610220001</v>
      </c>
      <c r="F12">
        <v>0</v>
      </c>
      <c r="H12">
        <v>768</v>
      </c>
      <c r="I12">
        <v>4.7708000000000004E-3</v>
      </c>
      <c r="J12">
        <v>1.9919999999999999E-4</v>
      </c>
      <c r="K12">
        <v>91048.274078000002</v>
      </c>
      <c r="L12">
        <v>0.11000000000000001</v>
      </c>
      <c r="S12">
        <v>768</v>
      </c>
      <c r="T12">
        <v>7.2300799999999998E-2</v>
      </c>
      <c r="U12">
        <v>1.2000000000000002E-4</v>
      </c>
      <c r="V12">
        <v>93569.566221899979</v>
      </c>
      <c r="W12">
        <v>0</v>
      </c>
      <c r="Y12">
        <v>768</v>
      </c>
      <c r="Z12">
        <v>4.8852999999999995E-3</v>
      </c>
      <c r="AA12">
        <v>2.006E-4</v>
      </c>
      <c r="AB12">
        <v>91118.011056499992</v>
      </c>
      <c r="AC12">
        <v>5.6000000000000008E-2</v>
      </c>
    </row>
    <row r="13" spans="2:33">
      <c r="B13">
        <v>896</v>
      </c>
      <c r="C13">
        <v>7.8593099999999999E-2</v>
      </c>
      <c r="D13">
        <v>1.4080000000000001E-4</v>
      </c>
      <c r="E13">
        <v>93585.280355999988</v>
      </c>
      <c r="F13">
        <v>0</v>
      </c>
      <c r="H13">
        <v>896</v>
      </c>
      <c r="I13">
        <v>5.4885000000000003E-3</v>
      </c>
      <c r="J13">
        <v>3.9309999999999996E-4</v>
      </c>
      <c r="K13">
        <v>92362.020713700011</v>
      </c>
      <c r="L13">
        <v>5.1000000000000004E-2</v>
      </c>
      <c r="S13">
        <v>896</v>
      </c>
      <c r="T13">
        <v>7.5978000000000004E-2</v>
      </c>
      <c r="U13">
        <v>1.4090000000000004E-4</v>
      </c>
      <c r="V13">
        <v>93587.658056999993</v>
      </c>
      <c r="W13">
        <v>0</v>
      </c>
      <c r="Y13">
        <v>896</v>
      </c>
      <c r="Z13">
        <v>5.6530999999999994E-3</v>
      </c>
      <c r="AA13">
        <v>3.9250000000000005E-4</v>
      </c>
      <c r="AB13">
        <v>92349.513983000012</v>
      </c>
      <c r="AC13">
        <v>5.9000000000000011E-2</v>
      </c>
    </row>
    <row r="14" spans="2:33">
      <c r="B14">
        <v>1024</v>
      </c>
      <c r="C14">
        <v>7.65232E-2</v>
      </c>
      <c r="D14">
        <v>1.6160000000000002E-4</v>
      </c>
      <c r="E14">
        <v>93590.422033800001</v>
      </c>
      <c r="F14">
        <v>0</v>
      </c>
      <c r="H14">
        <v>1024</v>
      </c>
      <c r="I14">
        <v>6.2165000000000007E-3</v>
      </c>
      <c r="J14">
        <v>5.6030000000000001E-4</v>
      </c>
      <c r="K14">
        <v>93272.619037100012</v>
      </c>
      <c r="L14">
        <v>5.7000000000000009E-2</v>
      </c>
      <c r="S14">
        <v>1024</v>
      </c>
      <c r="T14">
        <v>7.9387299999999994E-2</v>
      </c>
      <c r="U14">
        <v>1.6150000000000002E-4</v>
      </c>
      <c r="V14">
        <v>93636.839030200004</v>
      </c>
      <c r="W14">
        <v>0</v>
      </c>
      <c r="Y14">
        <v>1024</v>
      </c>
      <c r="Z14">
        <v>6.3727000000000002E-3</v>
      </c>
      <c r="AA14">
        <v>5.7340000000000006E-4</v>
      </c>
      <c r="AB14">
        <v>93249.317132299999</v>
      </c>
      <c r="AC14">
        <v>0.09</v>
      </c>
    </row>
    <row r="15" spans="2:33">
      <c r="B15">
        <v>1152</v>
      </c>
      <c r="C15">
        <v>7.4549799999999999E-2</v>
      </c>
      <c r="D15">
        <v>1.8249999999999999E-4</v>
      </c>
      <c r="E15">
        <v>93688.492517399995</v>
      </c>
      <c r="F15">
        <v>0</v>
      </c>
      <c r="H15">
        <v>1152</v>
      </c>
      <c r="I15">
        <v>7.0336999999999995E-3</v>
      </c>
      <c r="J15">
        <v>7.2110000000000002E-4</v>
      </c>
      <c r="K15">
        <v>93965.6773579</v>
      </c>
      <c r="L15">
        <v>9.3999999999999986E-2</v>
      </c>
      <c r="S15">
        <v>1152</v>
      </c>
      <c r="T15">
        <v>7.2205799999999987E-2</v>
      </c>
      <c r="U15">
        <v>1.9719999999999997E-4</v>
      </c>
      <c r="V15">
        <v>93681.944805900013</v>
      </c>
      <c r="W15">
        <v>0</v>
      </c>
      <c r="Y15">
        <v>1152</v>
      </c>
      <c r="Z15">
        <v>7.0524000000000003E-3</v>
      </c>
      <c r="AA15">
        <v>7.2219999999999988E-4</v>
      </c>
      <c r="AB15">
        <v>94051.6417354</v>
      </c>
      <c r="AC15">
        <v>3.9999999999999994E-2</v>
      </c>
    </row>
    <row r="16" spans="2:33">
      <c r="B16">
        <v>1280</v>
      </c>
      <c r="C16">
        <v>7.7366599999999994E-2</v>
      </c>
      <c r="D16">
        <v>2.028E-4</v>
      </c>
      <c r="E16">
        <v>93673.490805699999</v>
      </c>
      <c r="F16">
        <v>0</v>
      </c>
      <c r="H16">
        <v>1280</v>
      </c>
      <c r="I16">
        <v>8.0292999999999996E-3</v>
      </c>
      <c r="J16">
        <v>8.7240000000000006E-4</v>
      </c>
      <c r="K16">
        <v>94579.08427810001</v>
      </c>
      <c r="L16">
        <v>9.6999999999999989E-2</v>
      </c>
      <c r="S16">
        <v>1280</v>
      </c>
      <c r="T16">
        <v>7.3684999999999987E-2</v>
      </c>
      <c r="U16">
        <v>2.0259999999999999E-4</v>
      </c>
      <c r="V16">
        <v>93674.545755200001</v>
      </c>
      <c r="W16">
        <v>0</v>
      </c>
      <c r="Y16">
        <v>1280</v>
      </c>
      <c r="Z16">
        <v>8.0151000000000007E-3</v>
      </c>
      <c r="AA16">
        <v>8.6630000000000008E-4</v>
      </c>
      <c r="AB16">
        <v>94605.045483599984</v>
      </c>
      <c r="AC16">
        <v>8.199999999999999E-2</v>
      </c>
    </row>
    <row r="17" spans="2:29">
      <c r="B17">
        <v>1408</v>
      </c>
      <c r="C17">
        <v>7.0046799999999992E-2</v>
      </c>
      <c r="D17">
        <v>2.2330000000000001E-4</v>
      </c>
      <c r="E17">
        <v>93765.671388000017</v>
      </c>
      <c r="F17">
        <v>0</v>
      </c>
      <c r="H17">
        <v>1408</v>
      </c>
      <c r="I17">
        <v>8.6700000000000006E-3</v>
      </c>
      <c r="J17">
        <v>1.0003999999999998E-3</v>
      </c>
      <c r="K17">
        <v>95081.757291000016</v>
      </c>
      <c r="L17">
        <v>0.63500000000000001</v>
      </c>
      <c r="S17">
        <v>1408</v>
      </c>
      <c r="T17">
        <v>7.3355099999999979E-2</v>
      </c>
      <c r="U17">
        <v>2.2300000000000003E-4</v>
      </c>
      <c r="V17">
        <v>93781.402425500011</v>
      </c>
      <c r="W17">
        <v>0</v>
      </c>
      <c r="Y17">
        <v>1408</v>
      </c>
      <c r="Z17">
        <v>8.760399999999998E-3</v>
      </c>
      <c r="AA17">
        <v>1.0061E-3</v>
      </c>
      <c r="AB17">
        <v>95136.348111300002</v>
      </c>
      <c r="AC17">
        <v>0.27</v>
      </c>
    </row>
    <row r="18" spans="2:29">
      <c r="B18">
        <v>1536</v>
      </c>
      <c r="C18">
        <v>7.9024700000000003E-2</v>
      </c>
      <c r="D18">
        <v>2.4389999999999997E-4</v>
      </c>
      <c r="E18">
        <v>93765.876326900005</v>
      </c>
      <c r="F18">
        <v>0</v>
      </c>
      <c r="H18">
        <v>1536</v>
      </c>
      <c r="I18">
        <v>6.9197000000000009E-3</v>
      </c>
      <c r="J18">
        <v>8.9080000000000008E-4</v>
      </c>
      <c r="K18">
        <v>91791.549937000003</v>
      </c>
      <c r="L18">
        <v>7.3999999999999996E-2</v>
      </c>
      <c r="S18">
        <v>1536</v>
      </c>
      <c r="T18">
        <v>6.7594399999999999E-2</v>
      </c>
      <c r="U18">
        <v>2.4419999999999997E-4</v>
      </c>
      <c r="V18">
        <v>93687.49505160001</v>
      </c>
      <c r="W18">
        <v>0</v>
      </c>
      <c r="Y18">
        <v>1536</v>
      </c>
      <c r="Z18">
        <v>7.0329999999999993E-3</v>
      </c>
      <c r="AA18">
        <v>9.0839999999999985E-4</v>
      </c>
      <c r="AB18">
        <v>91852.909458000009</v>
      </c>
      <c r="AC18">
        <v>2.4E-2</v>
      </c>
    </row>
  </sheetData>
  <mergeCells count="6">
    <mergeCell ref="B2:O3"/>
    <mergeCell ref="T2:AG3"/>
    <mergeCell ref="B5:F5"/>
    <mergeCell ref="H5:L5"/>
    <mergeCell ref="S5:W5"/>
    <mergeCell ref="Y5:AC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89"/>
  <sheetViews>
    <sheetView workbookViewId="0">
      <selection activeCell="W4" sqref="W4:Z15"/>
    </sheetView>
  </sheetViews>
  <sheetFormatPr defaultRowHeight="15"/>
  <sheetData>
    <row r="2" spans="1:26">
      <c r="A2" t="s">
        <v>15</v>
      </c>
      <c r="L2" t="s">
        <v>16</v>
      </c>
    </row>
    <row r="3" spans="1:26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V3" t="s">
        <v>6</v>
      </c>
      <c r="W3" t="s">
        <v>25</v>
      </c>
      <c r="X3" t="s">
        <v>26</v>
      </c>
      <c r="Y3" t="s">
        <v>27</v>
      </c>
      <c r="Z3" t="s">
        <v>21</v>
      </c>
    </row>
    <row r="4" spans="1:26">
      <c r="A4">
        <v>1</v>
      </c>
      <c r="B4">
        <v>7.18E-4</v>
      </c>
      <c r="C4">
        <v>9.7999999999999997E-5</v>
      </c>
      <c r="D4">
        <v>17299.247141</v>
      </c>
      <c r="E4">
        <v>0</v>
      </c>
      <c r="F4">
        <v>3.6000000000000002E-4</v>
      </c>
      <c r="G4">
        <v>7.3350000000000004E-3</v>
      </c>
      <c r="H4">
        <v>16893.796036</v>
      </c>
      <c r="L4">
        <v>2</v>
      </c>
      <c r="M4">
        <v>8.4599999999999995E-2</v>
      </c>
      <c r="N4">
        <v>1.4100000000000001E-4</v>
      </c>
      <c r="O4">
        <v>93604.687835000004</v>
      </c>
      <c r="P4">
        <v>0</v>
      </c>
      <c r="Q4">
        <v>4.4799999999999999E-4</v>
      </c>
      <c r="R4">
        <v>0.117753</v>
      </c>
      <c r="S4">
        <v>13058.689709</v>
      </c>
      <c r="V4">
        <v>128</v>
      </c>
      <c r="W4">
        <f>B14</f>
        <v>7.2359999999999992E-4</v>
      </c>
      <c r="X4">
        <f>C14</f>
        <v>9.8499999999999995E-5</v>
      </c>
      <c r="Y4">
        <f>D14</f>
        <v>17256.315150899998</v>
      </c>
      <c r="Z4">
        <f>E14</f>
        <v>0</v>
      </c>
    </row>
    <row r="5" spans="1:26">
      <c r="A5">
        <v>5</v>
      </c>
      <c r="B5">
        <v>7.3200000000000001E-4</v>
      </c>
      <c r="C5">
        <v>9.8999999999999994E-5</v>
      </c>
      <c r="D5">
        <v>17194.451086000001</v>
      </c>
      <c r="E5">
        <v>0</v>
      </c>
      <c r="F5">
        <v>3.6999999999999999E-4</v>
      </c>
      <c r="G5">
        <v>7.4060000000000003E-3</v>
      </c>
      <c r="H5">
        <v>16791.456138000001</v>
      </c>
      <c r="L5">
        <v>8</v>
      </c>
      <c r="M5">
        <v>8.9315000000000005E-2</v>
      </c>
      <c r="N5">
        <v>1.3999999999999999E-4</v>
      </c>
      <c r="O5">
        <v>93618.810343999998</v>
      </c>
      <c r="P5">
        <v>0</v>
      </c>
      <c r="Q5">
        <v>4.5899999999999999E-4</v>
      </c>
      <c r="R5">
        <v>0.118299</v>
      </c>
      <c r="S5">
        <v>13060.659925</v>
      </c>
      <c r="V5">
        <v>256</v>
      </c>
      <c r="W5">
        <f>B29</f>
        <v>8.2509999999999994E-4</v>
      </c>
      <c r="X5">
        <f>C29</f>
        <v>9.0200000000000011E-5</v>
      </c>
      <c r="Y5">
        <f>D29</f>
        <v>34817.247834000002</v>
      </c>
      <c r="Z5">
        <f>E29</f>
        <v>0</v>
      </c>
    </row>
    <row r="6" spans="1:26">
      <c r="A6">
        <v>2</v>
      </c>
      <c r="B6">
        <v>7.2099999999999996E-4</v>
      </c>
      <c r="C6">
        <v>9.7999999999999997E-5</v>
      </c>
      <c r="D6">
        <v>17287.953024999999</v>
      </c>
      <c r="E6">
        <v>0</v>
      </c>
      <c r="F6">
        <v>3.6099999999999999E-4</v>
      </c>
      <c r="G6">
        <v>5.7869999999999996E-3</v>
      </c>
      <c r="H6">
        <v>16882.766626000001</v>
      </c>
      <c r="L6">
        <v>3</v>
      </c>
      <c r="M6">
        <v>9.2606999999999995E-2</v>
      </c>
      <c r="N6">
        <v>1.4100000000000001E-4</v>
      </c>
      <c r="O6">
        <v>93691.187298999997</v>
      </c>
      <c r="P6">
        <v>0</v>
      </c>
      <c r="Q6">
        <v>4.73E-4</v>
      </c>
      <c r="R6">
        <v>0.12798399999999999</v>
      </c>
      <c r="S6">
        <v>13070.757157</v>
      </c>
      <c r="V6">
        <v>384</v>
      </c>
      <c r="W6">
        <f>B44</f>
        <v>1.0847999999999999E-3</v>
      </c>
      <c r="X6">
        <f>C44</f>
        <v>8.7200000000000005E-5</v>
      </c>
      <c r="Y6">
        <f>D44</f>
        <v>52658.845018100008</v>
      </c>
      <c r="Z6">
        <f>E44</f>
        <v>0</v>
      </c>
    </row>
    <row r="7" spans="1:26">
      <c r="A7">
        <v>6</v>
      </c>
      <c r="B7">
        <v>7.18E-4</v>
      </c>
      <c r="C7">
        <v>9.7999999999999997E-5</v>
      </c>
      <c r="D7">
        <v>17271.470939999999</v>
      </c>
      <c r="E7">
        <v>0</v>
      </c>
      <c r="F7">
        <v>3.57E-4</v>
      </c>
      <c r="G7">
        <v>6.1180000000000002E-3</v>
      </c>
      <c r="H7">
        <v>16866.670839999999</v>
      </c>
      <c r="L7">
        <v>4</v>
      </c>
      <c r="M7">
        <v>7.3377999999999999E-2</v>
      </c>
      <c r="N7">
        <v>1.4100000000000001E-4</v>
      </c>
      <c r="O7">
        <v>93558.145738000007</v>
      </c>
      <c r="P7">
        <v>0</v>
      </c>
      <c r="Q7">
        <v>4.5199999999999998E-4</v>
      </c>
      <c r="R7">
        <v>0.10444199999999999</v>
      </c>
      <c r="S7">
        <v>13052.196671</v>
      </c>
      <c r="V7">
        <v>512</v>
      </c>
      <c r="W7">
        <f>B59</f>
        <v>9.9679999999999994E-4</v>
      </c>
      <c r="X7">
        <f>C59</f>
        <v>8.3399999999999994E-5</v>
      </c>
      <c r="Y7">
        <f>D59</f>
        <v>70209.609850199995</v>
      </c>
      <c r="Z7">
        <f>E59</f>
        <v>0</v>
      </c>
    </row>
    <row r="8" spans="1:26">
      <c r="A8">
        <v>4</v>
      </c>
      <c r="B8">
        <v>7.2800000000000002E-4</v>
      </c>
      <c r="C8">
        <v>9.8999999999999994E-5</v>
      </c>
      <c r="D8">
        <v>17255.296848999998</v>
      </c>
      <c r="E8">
        <v>0</v>
      </c>
      <c r="F8">
        <v>3.57E-4</v>
      </c>
      <c r="G8">
        <v>8.3660000000000002E-3</v>
      </c>
      <c r="H8">
        <v>16850.875829000001</v>
      </c>
      <c r="L8">
        <v>1</v>
      </c>
      <c r="M8">
        <v>7.4210999999999999E-2</v>
      </c>
      <c r="N8">
        <v>1.4100000000000001E-4</v>
      </c>
      <c r="O8">
        <v>93523.59749</v>
      </c>
      <c r="P8">
        <v>0</v>
      </c>
      <c r="Q8">
        <v>5.0900000000000001E-4</v>
      </c>
      <c r="R8">
        <v>9.7178E-2</v>
      </c>
      <c r="S8">
        <v>13047.376882</v>
      </c>
      <c r="V8">
        <v>640</v>
      </c>
      <c r="W8">
        <f>B74</f>
        <v>1.0141E-3</v>
      </c>
      <c r="X8">
        <f>C74</f>
        <v>8.4800000000000001E-5</v>
      </c>
      <c r="Y8">
        <f>D74</f>
        <v>88074.603510900008</v>
      </c>
      <c r="Z8">
        <f>E74</f>
        <v>0</v>
      </c>
    </row>
    <row r="9" spans="1:26">
      <c r="A9">
        <v>3</v>
      </c>
      <c r="B9">
        <v>7.3099999999999999E-4</v>
      </c>
      <c r="C9">
        <v>9.8999999999999994E-5</v>
      </c>
      <c r="D9">
        <v>17147.823892</v>
      </c>
      <c r="E9">
        <v>0</v>
      </c>
      <c r="F9">
        <v>3.4600000000000001E-4</v>
      </c>
      <c r="G9">
        <v>7.6049999999999998E-3</v>
      </c>
      <c r="H9">
        <v>16745.921770000001</v>
      </c>
      <c r="L9">
        <v>6</v>
      </c>
      <c r="M9">
        <v>9.2316999999999996E-2</v>
      </c>
      <c r="N9">
        <v>1.4100000000000001E-4</v>
      </c>
      <c r="O9">
        <v>93581.475302999999</v>
      </c>
      <c r="P9">
        <v>0</v>
      </c>
      <c r="Q9">
        <v>5.0100000000000003E-4</v>
      </c>
      <c r="R9">
        <v>0.125032</v>
      </c>
      <c r="S9">
        <v>13055.451354000001</v>
      </c>
      <c r="V9">
        <v>768</v>
      </c>
      <c r="W9">
        <f>B89</f>
        <v>3.0998399999999992E-2</v>
      </c>
      <c r="X9">
        <f>C89</f>
        <v>1.3080000000000001E-4</v>
      </c>
      <c r="Y9">
        <f>D89</f>
        <v>93573.76610220001</v>
      </c>
      <c r="Z9">
        <f>E89</f>
        <v>0</v>
      </c>
    </row>
    <row r="10" spans="1:26">
      <c r="A10">
        <v>7</v>
      </c>
      <c r="B10">
        <v>7.2599999999999997E-4</v>
      </c>
      <c r="C10">
        <v>9.8999999999999994E-5</v>
      </c>
      <c r="D10">
        <v>17228.644412000001</v>
      </c>
      <c r="E10">
        <v>0</v>
      </c>
      <c r="F10">
        <v>3.6299999999999999E-4</v>
      </c>
      <c r="G10">
        <v>6.8409999999999999E-3</v>
      </c>
      <c r="H10">
        <v>16824.848059</v>
      </c>
      <c r="L10">
        <v>7</v>
      </c>
      <c r="M10">
        <v>8.5265999999999995E-2</v>
      </c>
      <c r="N10">
        <v>1.4100000000000001E-4</v>
      </c>
      <c r="O10">
        <v>93598.333683999997</v>
      </c>
      <c r="P10">
        <v>0</v>
      </c>
      <c r="Q10">
        <v>5.7300000000000005E-4</v>
      </c>
      <c r="R10">
        <v>0.107567</v>
      </c>
      <c r="S10">
        <v>13057.803248</v>
      </c>
      <c r="V10">
        <v>896</v>
      </c>
      <c r="W10">
        <f>M14</f>
        <v>7.8593099999999999E-2</v>
      </c>
      <c r="X10">
        <f>N14</f>
        <v>1.4080000000000001E-4</v>
      </c>
      <c r="Y10">
        <f>O14</f>
        <v>93585.280355999988</v>
      </c>
      <c r="Z10">
        <f>P14</f>
        <v>0</v>
      </c>
    </row>
    <row r="11" spans="1:26">
      <c r="A11">
        <v>8</v>
      </c>
      <c r="B11">
        <v>7.1699999999999997E-4</v>
      </c>
      <c r="C11">
        <v>9.7999999999999997E-5</v>
      </c>
      <c r="D11">
        <v>17358.580693</v>
      </c>
      <c r="E11">
        <v>0</v>
      </c>
      <c r="F11">
        <v>3.57E-4</v>
      </c>
      <c r="G11">
        <v>7.9539999999999993E-3</v>
      </c>
      <c r="H11">
        <v>16951.738958000002</v>
      </c>
      <c r="L11">
        <v>5</v>
      </c>
      <c r="M11">
        <v>7.4260999999999994E-2</v>
      </c>
      <c r="N11">
        <v>1.3999999999999999E-4</v>
      </c>
      <c r="O11">
        <v>93666.303924000007</v>
      </c>
      <c r="P11">
        <v>0</v>
      </c>
      <c r="Q11">
        <v>5.9900000000000003E-4</v>
      </c>
      <c r="R11">
        <v>0.10563500000000001</v>
      </c>
      <c r="S11">
        <v>13067.285704</v>
      </c>
      <c r="V11">
        <v>1024</v>
      </c>
      <c r="W11">
        <f>M29</f>
        <v>7.65232E-2</v>
      </c>
      <c r="X11">
        <f>N29</f>
        <v>1.6160000000000002E-4</v>
      </c>
      <c r="Y11">
        <f>O29</f>
        <v>93590.422033800001</v>
      </c>
      <c r="Z11">
        <f>P29</f>
        <v>0</v>
      </c>
    </row>
    <row r="12" spans="1:26">
      <c r="A12">
        <v>9</v>
      </c>
      <c r="B12">
        <v>7.2800000000000002E-4</v>
      </c>
      <c r="C12">
        <v>9.7999999999999997E-5</v>
      </c>
      <c r="D12">
        <v>17321.096631</v>
      </c>
      <c r="E12">
        <v>0</v>
      </c>
      <c r="F12">
        <v>3.6099999999999999E-4</v>
      </c>
      <c r="G12">
        <v>6.8869999999999999E-3</v>
      </c>
      <c r="H12">
        <v>16915.133429000001</v>
      </c>
      <c r="L12">
        <v>10</v>
      </c>
      <c r="M12">
        <v>6.1269999999999998E-2</v>
      </c>
      <c r="N12">
        <v>1.4100000000000001E-4</v>
      </c>
      <c r="O12">
        <v>93488.745834000001</v>
      </c>
      <c r="P12">
        <v>0</v>
      </c>
      <c r="Q12">
        <v>7.7700000000000002E-4</v>
      </c>
      <c r="R12">
        <v>7.9445000000000002E-2</v>
      </c>
      <c r="S12">
        <v>13042.514765</v>
      </c>
      <c r="V12">
        <v>1152</v>
      </c>
      <c r="W12">
        <f>M44</f>
        <v>7.4549799999999999E-2</v>
      </c>
      <c r="X12">
        <f>N44</f>
        <v>1.8249999999999999E-4</v>
      </c>
      <c r="Y12">
        <f>O44</f>
        <v>93688.492517399995</v>
      </c>
      <c r="Z12">
        <f>P44</f>
        <v>0</v>
      </c>
    </row>
    <row r="13" spans="1:26">
      <c r="A13">
        <v>10</v>
      </c>
      <c r="B13">
        <v>7.1699999999999997E-4</v>
      </c>
      <c r="C13">
        <v>9.8999999999999994E-5</v>
      </c>
      <c r="D13">
        <v>17198.58684</v>
      </c>
      <c r="E13">
        <v>0</v>
      </c>
      <c r="F13">
        <v>3.4600000000000001E-4</v>
      </c>
      <c r="G13">
        <v>7.6010000000000001E-3</v>
      </c>
      <c r="H13">
        <v>16795.494961</v>
      </c>
      <c r="L13">
        <v>9</v>
      </c>
      <c r="M13">
        <v>5.8706000000000001E-2</v>
      </c>
      <c r="N13">
        <v>1.4100000000000001E-4</v>
      </c>
      <c r="O13">
        <v>93521.516109000004</v>
      </c>
      <c r="P13">
        <v>0</v>
      </c>
      <c r="Q13">
        <v>1.1490000000000001E-3</v>
      </c>
      <c r="R13">
        <v>7.3925000000000005E-2</v>
      </c>
      <c r="S13">
        <v>13047.086511</v>
      </c>
      <c r="V13">
        <v>1280</v>
      </c>
      <c r="W13">
        <f>M59</f>
        <v>7.7366599999999994E-2</v>
      </c>
      <c r="X13">
        <f>N59</f>
        <v>2.028E-4</v>
      </c>
      <c r="Y13">
        <f>O59</f>
        <v>93673.490805699999</v>
      </c>
      <c r="Z13">
        <f>P59</f>
        <v>0</v>
      </c>
    </row>
    <row r="14" spans="1:26">
      <c r="A14" t="s">
        <v>28</v>
      </c>
      <c r="B14">
        <f t="shared" ref="B14:H14" si="0">AVERAGE(B4:B13)</f>
        <v>7.2359999999999992E-4</v>
      </c>
      <c r="C14">
        <f t="shared" si="0"/>
        <v>9.8499999999999995E-5</v>
      </c>
      <c r="D14">
        <f t="shared" si="0"/>
        <v>17256.315150899998</v>
      </c>
      <c r="E14">
        <f t="shared" si="0"/>
        <v>0</v>
      </c>
      <c r="F14">
        <f t="shared" si="0"/>
        <v>3.5780000000000002E-4</v>
      </c>
      <c r="G14">
        <f t="shared" si="0"/>
        <v>7.1900000000000002E-3</v>
      </c>
      <c r="H14">
        <f t="shared" si="0"/>
        <v>16851.870264599998</v>
      </c>
      <c r="L14" t="s">
        <v>28</v>
      </c>
      <c r="M14">
        <f t="shared" ref="M14:S14" si="1">AVERAGE(M4:M13)</f>
        <v>7.8593099999999999E-2</v>
      </c>
      <c r="N14">
        <f t="shared" si="1"/>
        <v>1.4080000000000001E-4</v>
      </c>
      <c r="O14">
        <f t="shared" si="1"/>
        <v>93585.280355999988</v>
      </c>
      <c r="P14">
        <f t="shared" si="1"/>
        <v>0</v>
      </c>
      <c r="Q14">
        <f t="shared" si="1"/>
        <v>5.9400000000000002E-4</v>
      </c>
      <c r="R14">
        <f t="shared" si="1"/>
        <v>0.10572599999999999</v>
      </c>
      <c r="S14">
        <f t="shared" si="1"/>
        <v>13055.982192599999</v>
      </c>
      <c r="V14">
        <v>1408</v>
      </c>
      <c r="W14">
        <f>M74</f>
        <v>7.0046799999999992E-2</v>
      </c>
      <c r="X14">
        <f>N74</f>
        <v>2.2330000000000001E-4</v>
      </c>
      <c r="Y14">
        <f>O74</f>
        <v>93765.671388000017</v>
      </c>
      <c r="Z14">
        <f>P74</f>
        <v>0</v>
      </c>
    </row>
    <row r="15" spans="1:26">
      <c r="V15">
        <v>1536</v>
      </c>
      <c r="W15">
        <f>M89</f>
        <v>7.9024700000000003E-2</v>
      </c>
      <c r="X15">
        <f>N89</f>
        <v>2.4389999999999997E-4</v>
      </c>
      <c r="Y15">
        <f>O89</f>
        <v>93765.876326900005</v>
      </c>
      <c r="Z15">
        <f>P89</f>
        <v>0</v>
      </c>
    </row>
    <row r="17" spans="1:19">
      <c r="A17" t="s">
        <v>29</v>
      </c>
      <c r="L17" t="s">
        <v>30</v>
      </c>
    </row>
    <row r="18" spans="1:19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L18" t="s">
        <v>17</v>
      </c>
      <c r="M18" t="s">
        <v>18</v>
      </c>
      <c r="N18" t="s">
        <v>19</v>
      </c>
      <c r="O18" t="s">
        <v>20</v>
      </c>
      <c r="P18" t="s">
        <v>21</v>
      </c>
      <c r="Q18" t="s">
        <v>22</v>
      </c>
      <c r="R18" t="s">
        <v>23</v>
      </c>
      <c r="S18" t="s">
        <v>24</v>
      </c>
    </row>
    <row r="19" spans="1:19">
      <c r="A19">
        <v>1</v>
      </c>
      <c r="B19">
        <v>8.2100000000000001E-4</v>
      </c>
      <c r="C19">
        <v>8.8999999999999995E-5</v>
      </c>
      <c r="D19">
        <v>34949.903564</v>
      </c>
      <c r="E19">
        <v>0</v>
      </c>
      <c r="F19">
        <v>4.4999999999999999E-4</v>
      </c>
      <c r="G19">
        <v>6.6930000000000002E-3</v>
      </c>
      <c r="H19">
        <v>17065.382600000001</v>
      </c>
      <c r="L19">
        <v>5</v>
      </c>
      <c r="M19">
        <v>8.6639999999999995E-2</v>
      </c>
      <c r="N19">
        <v>1.6100000000000001E-4</v>
      </c>
      <c r="O19">
        <v>93684.345505000005</v>
      </c>
      <c r="P19">
        <v>0</v>
      </c>
      <c r="Q19">
        <v>4.8700000000000002E-4</v>
      </c>
      <c r="R19">
        <v>0.11830599999999999</v>
      </c>
      <c r="S19">
        <v>11436.077332000001</v>
      </c>
    </row>
    <row r="20" spans="1:19">
      <c r="A20">
        <v>6</v>
      </c>
      <c r="B20">
        <v>8.2799999999999996E-4</v>
      </c>
      <c r="C20">
        <v>9.0000000000000006E-5</v>
      </c>
      <c r="D20">
        <v>34773.214186999998</v>
      </c>
      <c r="E20">
        <v>0</v>
      </c>
      <c r="F20">
        <v>4.4700000000000002E-4</v>
      </c>
      <c r="G20">
        <v>7.7920000000000003E-3</v>
      </c>
      <c r="H20">
        <v>16979.108489999999</v>
      </c>
      <c r="L20">
        <v>2</v>
      </c>
      <c r="M20">
        <v>7.9651E-2</v>
      </c>
      <c r="N20">
        <v>1.6100000000000001E-4</v>
      </c>
      <c r="O20">
        <v>93688.314830000003</v>
      </c>
      <c r="P20">
        <v>0</v>
      </c>
      <c r="Q20">
        <v>4.86E-4</v>
      </c>
      <c r="R20">
        <v>0.11118400000000001</v>
      </c>
      <c r="S20">
        <v>11436.561868999999</v>
      </c>
    </row>
    <row r="21" spans="1:19">
      <c r="A21">
        <v>3</v>
      </c>
      <c r="B21">
        <v>8.3199999999999995E-4</v>
      </c>
      <c r="C21">
        <v>9.1000000000000003E-5</v>
      </c>
      <c r="D21">
        <v>34627.871907000001</v>
      </c>
      <c r="E21">
        <v>0</v>
      </c>
      <c r="F21">
        <v>4.5300000000000001E-4</v>
      </c>
      <c r="G21">
        <v>7.0000000000000001E-3</v>
      </c>
      <c r="H21">
        <v>16908.140579999999</v>
      </c>
      <c r="L21">
        <v>1</v>
      </c>
      <c r="M21">
        <v>8.8274000000000005E-2</v>
      </c>
      <c r="N21">
        <v>1.6200000000000001E-4</v>
      </c>
      <c r="O21">
        <v>93559.956411000006</v>
      </c>
      <c r="P21">
        <v>0</v>
      </c>
      <c r="Q21">
        <v>5.1900000000000004E-4</v>
      </c>
      <c r="R21">
        <v>0.11792900000000001</v>
      </c>
      <c r="S21">
        <v>11420.893117</v>
      </c>
    </row>
    <row r="22" spans="1:19">
      <c r="A22">
        <v>5</v>
      </c>
      <c r="B22">
        <v>8.2700000000000004E-4</v>
      </c>
      <c r="C22">
        <v>9.1000000000000003E-5</v>
      </c>
      <c r="D22">
        <v>34746.999565999999</v>
      </c>
      <c r="E22">
        <v>0</v>
      </c>
      <c r="F22">
        <v>4.4999999999999999E-4</v>
      </c>
      <c r="G22">
        <v>6.404E-3</v>
      </c>
      <c r="H22">
        <v>16966.308381999999</v>
      </c>
      <c r="L22">
        <v>4</v>
      </c>
      <c r="M22">
        <v>8.0766000000000004E-2</v>
      </c>
      <c r="N22">
        <v>1.6200000000000001E-4</v>
      </c>
      <c r="O22">
        <v>93545.591002999994</v>
      </c>
      <c r="P22">
        <v>0</v>
      </c>
      <c r="Q22">
        <v>5.4100000000000003E-4</v>
      </c>
      <c r="R22">
        <v>0.110055</v>
      </c>
      <c r="S22">
        <v>11419.139526999999</v>
      </c>
    </row>
    <row r="23" spans="1:19">
      <c r="A23">
        <v>2</v>
      </c>
      <c r="B23">
        <v>8.2399999999999997E-4</v>
      </c>
      <c r="C23">
        <v>9.0000000000000006E-5</v>
      </c>
      <c r="D23">
        <v>34872.578056999999</v>
      </c>
      <c r="E23">
        <v>0</v>
      </c>
      <c r="F23">
        <v>4.4799999999999999E-4</v>
      </c>
      <c r="G23">
        <v>7.9419999999999994E-3</v>
      </c>
      <c r="H23">
        <v>17027.626004000002</v>
      </c>
      <c r="L23">
        <v>3</v>
      </c>
      <c r="M23">
        <v>8.0197000000000004E-2</v>
      </c>
      <c r="N23">
        <v>1.6200000000000001E-4</v>
      </c>
      <c r="O23">
        <v>93633.939031999995</v>
      </c>
      <c r="P23">
        <v>0</v>
      </c>
      <c r="Q23">
        <v>5.4500000000000002E-4</v>
      </c>
      <c r="R23">
        <v>0.10599</v>
      </c>
      <c r="S23">
        <v>11429.924198000001</v>
      </c>
    </row>
    <row r="24" spans="1:19">
      <c r="A24">
        <v>4</v>
      </c>
      <c r="B24">
        <v>8.2399999999999997E-4</v>
      </c>
      <c r="C24">
        <v>9.0000000000000006E-5</v>
      </c>
      <c r="D24">
        <v>34870.082768</v>
      </c>
      <c r="E24">
        <v>0</v>
      </c>
      <c r="F24">
        <v>4.5899999999999999E-4</v>
      </c>
      <c r="G24">
        <v>8.2179999999999996E-3</v>
      </c>
      <c r="H24">
        <v>17026.407601999999</v>
      </c>
      <c r="L24">
        <v>6</v>
      </c>
      <c r="M24">
        <v>7.9756999999999995E-2</v>
      </c>
      <c r="N24">
        <v>1.6200000000000001E-4</v>
      </c>
      <c r="O24">
        <v>93713.146422000005</v>
      </c>
      <c r="P24">
        <v>0</v>
      </c>
      <c r="Q24">
        <v>5.8500000000000002E-4</v>
      </c>
      <c r="R24">
        <v>0.10734</v>
      </c>
      <c r="S24">
        <v>11439.593069</v>
      </c>
    </row>
    <row r="25" spans="1:19">
      <c r="A25">
        <v>7</v>
      </c>
      <c r="B25">
        <v>8.34E-4</v>
      </c>
      <c r="C25">
        <v>9.1000000000000003E-5</v>
      </c>
      <c r="D25">
        <v>34665.566142999996</v>
      </c>
      <c r="E25">
        <v>0</v>
      </c>
      <c r="F25">
        <v>4.4000000000000002E-4</v>
      </c>
      <c r="G25">
        <v>7.3709999999999999E-3</v>
      </c>
      <c r="H25">
        <v>16926.545967999999</v>
      </c>
      <c r="L25">
        <v>9</v>
      </c>
      <c r="M25">
        <v>9.3377000000000002E-2</v>
      </c>
      <c r="N25">
        <v>1.6200000000000001E-4</v>
      </c>
      <c r="O25">
        <v>93597.203303000002</v>
      </c>
      <c r="P25">
        <v>0</v>
      </c>
      <c r="Q25">
        <v>6.7900000000000002E-4</v>
      </c>
      <c r="R25">
        <v>0.12624199999999999</v>
      </c>
      <c r="S25">
        <v>11425.439856000001</v>
      </c>
    </row>
    <row r="26" spans="1:19">
      <c r="A26">
        <v>8</v>
      </c>
      <c r="B26">
        <v>8.2700000000000004E-4</v>
      </c>
      <c r="C26">
        <v>9.0000000000000006E-5</v>
      </c>
      <c r="D26">
        <v>34807.956539999999</v>
      </c>
      <c r="E26">
        <v>0</v>
      </c>
      <c r="F26">
        <v>4.4000000000000002E-4</v>
      </c>
      <c r="G26">
        <v>8.0190000000000001E-3</v>
      </c>
      <c r="H26">
        <v>16996.072529000001</v>
      </c>
      <c r="L26">
        <v>8</v>
      </c>
      <c r="M26">
        <v>5.9068000000000002E-2</v>
      </c>
      <c r="N26">
        <v>1.6200000000000001E-4</v>
      </c>
      <c r="O26">
        <v>93516.030117000002</v>
      </c>
      <c r="P26">
        <v>0</v>
      </c>
      <c r="Q26">
        <v>8.4500000000000005E-4</v>
      </c>
      <c r="R26">
        <v>7.4701000000000004E-2</v>
      </c>
      <c r="S26">
        <v>11415.53102</v>
      </c>
    </row>
    <row r="27" spans="1:19">
      <c r="A27">
        <v>9</v>
      </c>
      <c r="B27">
        <v>8.1700000000000002E-4</v>
      </c>
      <c r="C27">
        <v>9.0000000000000006E-5</v>
      </c>
      <c r="D27">
        <v>34893.718245999997</v>
      </c>
      <c r="E27">
        <v>0</v>
      </c>
      <c r="F27">
        <v>4.57E-4</v>
      </c>
      <c r="G27">
        <v>6.2360000000000002E-3</v>
      </c>
      <c r="H27">
        <v>17037.948361999999</v>
      </c>
      <c r="L27">
        <v>10</v>
      </c>
      <c r="M27">
        <v>5.9330000000000001E-2</v>
      </c>
      <c r="N27">
        <v>1.6100000000000001E-4</v>
      </c>
      <c r="O27">
        <v>93454.629165999999</v>
      </c>
      <c r="P27">
        <v>0</v>
      </c>
      <c r="Q27">
        <v>1.0560000000000001E-3</v>
      </c>
      <c r="R27">
        <v>7.5798000000000004E-2</v>
      </c>
      <c r="S27">
        <v>11408.035787000001</v>
      </c>
    </row>
    <row r="28" spans="1:19">
      <c r="A28">
        <v>10</v>
      </c>
      <c r="B28">
        <v>8.1700000000000002E-4</v>
      </c>
      <c r="C28">
        <v>9.0000000000000006E-5</v>
      </c>
      <c r="D28">
        <v>34964.587361999998</v>
      </c>
      <c r="E28">
        <v>0</v>
      </c>
      <c r="F28">
        <v>4.5100000000000001E-4</v>
      </c>
      <c r="G28">
        <v>6.4060000000000002E-3</v>
      </c>
      <c r="H28">
        <v>17072.552423000001</v>
      </c>
      <c r="L28">
        <v>7</v>
      </c>
      <c r="M28">
        <v>5.8172000000000001E-2</v>
      </c>
      <c r="N28">
        <v>1.6100000000000001E-4</v>
      </c>
      <c r="O28">
        <v>93511.064549000002</v>
      </c>
      <c r="P28">
        <v>0</v>
      </c>
      <c r="Q28">
        <v>1.895E-3</v>
      </c>
      <c r="R28">
        <v>8.8543999999999998E-2</v>
      </c>
      <c r="S28">
        <v>11414.924872</v>
      </c>
    </row>
    <row r="29" spans="1:19">
      <c r="A29" t="s">
        <v>28</v>
      </c>
      <c r="B29">
        <f t="shared" ref="B29:H29" si="2">AVERAGE(B19:B28)</f>
        <v>8.2509999999999994E-4</v>
      </c>
      <c r="C29">
        <f t="shared" si="2"/>
        <v>9.0200000000000011E-5</v>
      </c>
      <c r="D29">
        <f t="shared" si="2"/>
        <v>34817.247834000002</v>
      </c>
      <c r="E29">
        <f t="shared" si="2"/>
        <v>0</v>
      </c>
      <c r="F29">
        <f t="shared" si="2"/>
        <v>4.4949999999999998E-4</v>
      </c>
      <c r="G29">
        <f t="shared" si="2"/>
        <v>7.2081000000000003E-3</v>
      </c>
      <c r="H29">
        <f t="shared" si="2"/>
        <v>17000.609294000002</v>
      </c>
      <c r="L29" t="s">
        <v>28</v>
      </c>
      <c r="M29">
        <f t="shared" ref="M29:S29" si="3">AVERAGE(M19:M28)</f>
        <v>7.65232E-2</v>
      </c>
      <c r="N29">
        <f t="shared" si="3"/>
        <v>1.6160000000000002E-4</v>
      </c>
      <c r="O29">
        <f t="shared" si="3"/>
        <v>93590.422033800001</v>
      </c>
      <c r="P29">
        <f t="shared" si="3"/>
        <v>0</v>
      </c>
      <c r="Q29">
        <f t="shared" si="3"/>
        <v>7.6380000000000003E-4</v>
      </c>
      <c r="R29">
        <f t="shared" si="3"/>
        <v>0.1036089</v>
      </c>
      <c r="S29">
        <f t="shared" si="3"/>
        <v>11424.612064699999</v>
      </c>
    </row>
    <row r="32" spans="1:19">
      <c r="A32" t="s">
        <v>31</v>
      </c>
      <c r="L32" t="s">
        <v>32</v>
      </c>
    </row>
    <row r="33" spans="1:19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L33" t="s">
        <v>17</v>
      </c>
      <c r="M33" t="s">
        <v>18</v>
      </c>
      <c r="N33" t="s">
        <v>19</v>
      </c>
      <c r="O33" t="s">
        <v>20</v>
      </c>
      <c r="P33" t="s">
        <v>21</v>
      </c>
      <c r="Q33" t="s">
        <v>22</v>
      </c>
      <c r="R33" t="s">
        <v>23</v>
      </c>
      <c r="S33" t="s">
        <v>24</v>
      </c>
    </row>
    <row r="34" spans="1:19">
      <c r="A34">
        <v>1</v>
      </c>
      <c r="B34">
        <v>1.096E-3</v>
      </c>
      <c r="C34">
        <v>8.7999999999999998E-5</v>
      </c>
      <c r="D34">
        <v>52325.868527999999</v>
      </c>
      <c r="E34">
        <v>0</v>
      </c>
      <c r="F34">
        <v>5.5599999999999996E-4</v>
      </c>
      <c r="G34">
        <v>7.5040000000000003E-3</v>
      </c>
      <c r="H34">
        <v>17033.160328000002</v>
      </c>
      <c r="L34">
        <v>1</v>
      </c>
      <c r="M34">
        <v>8.6918999999999996E-2</v>
      </c>
      <c r="N34">
        <v>1.8200000000000001E-4</v>
      </c>
      <c r="O34">
        <v>93818.720904000002</v>
      </c>
      <c r="P34">
        <v>0</v>
      </c>
      <c r="Q34">
        <v>3.4699999999999998E-4</v>
      </c>
      <c r="R34">
        <v>0.113409</v>
      </c>
      <c r="S34">
        <v>10179.982737</v>
      </c>
    </row>
    <row r="35" spans="1:19">
      <c r="A35">
        <v>2</v>
      </c>
      <c r="B35">
        <v>1.083E-3</v>
      </c>
      <c r="C35">
        <v>8.7000000000000001E-5</v>
      </c>
      <c r="D35">
        <v>52627.417993000003</v>
      </c>
      <c r="E35">
        <v>0</v>
      </c>
      <c r="F35">
        <v>5.4900000000000001E-4</v>
      </c>
      <c r="G35">
        <v>7.6049999999999998E-3</v>
      </c>
      <c r="H35">
        <v>17131.320961000001</v>
      </c>
      <c r="L35">
        <v>2</v>
      </c>
      <c r="M35">
        <v>7.9811999999999994E-2</v>
      </c>
      <c r="N35">
        <v>1.8200000000000001E-4</v>
      </c>
      <c r="O35">
        <v>93744.569428000003</v>
      </c>
      <c r="P35">
        <v>0</v>
      </c>
      <c r="Q35">
        <v>3.3799999999999998E-4</v>
      </c>
      <c r="R35">
        <v>0.109726</v>
      </c>
      <c r="S35">
        <v>10171.936787000001</v>
      </c>
    </row>
    <row r="36" spans="1:19">
      <c r="A36">
        <v>4</v>
      </c>
      <c r="B36">
        <v>1.0839999999999999E-3</v>
      </c>
      <c r="C36">
        <v>8.7000000000000001E-5</v>
      </c>
      <c r="D36">
        <v>52671.627117000004</v>
      </c>
      <c r="E36">
        <v>0</v>
      </c>
      <c r="F36">
        <v>5.7300000000000005E-4</v>
      </c>
      <c r="G36">
        <v>9.0419999999999997E-3</v>
      </c>
      <c r="H36">
        <v>17145.711952000001</v>
      </c>
      <c r="L36">
        <v>4</v>
      </c>
      <c r="M36">
        <v>9.7572000000000006E-2</v>
      </c>
      <c r="N36">
        <v>1.83E-4</v>
      </c>
      <c r="O36">
        <v>93605.178163000004</v>
      </c>
      <c r="P36">
        <v>0</v>
      </c>
      <c r="Q36">
        <v>4.0700000000000003E-4</v>
      </c>
      <c r="R36">
        <v>0.12739400000000001</v>
      </c>
      <c r="S36">
        <v>10156.811867</v>
      </c>
    </row>
    <row r="37" spans="1:19">
      <c r="A37">
        <v>5</v>
      </c>
      <c r="B37">
        <v>1.077E-3</v>
      </c>
      <c r="C37">
        <v>8.7000000000000001E-5</v>
      </c>
      <c r="D37">
        <v>52585.100288000001</v>
      </c>
      <c r="E37">
        <v>0</v>
      </c>
      <c r="F37">
        <v>6.0899999999999995E-4</v>
      </c>
      <c r="G37">
        <v>6.3509999999999999E-3</v>
      </c>
      <c r="H37">
        <v>17117.545666999999</v>
      </c>
      <c r="L37">
        <v>3</v>
      </c>
      <c r="M37">
        <v>8.0519999999999994E-2</v>
      </c>
      <c r="N37">
        <v>1.83E-4</v>
      </c>
      <c r="O37">
        <v>93567.925250999993</v>
      </c>
      <c r="P37">
        <v>0</v>
      </c>
      <c r="Q37">
        <v>4.2299999999999998E-4</v>
      </c>
      <c r="R37">
        <v>0.11031000000000001</v>
      </c>
      <c r="S37">
        <v>10152.769667</v>
      </c>
    </row>
    <row r="38" spans="1:19">
      <c r="A38">
        <v>6</v>
      </c>
      <c r="B38">
        <v>1.0870000000000001E-3</v>
      </c>
      <c r="C38">
        <v>8.7000000000000001E-5</v>
      </c>
      <c r="D38">
        <v>52606.544992000003</v>
      </c>
      <c r="E38">
        <v>0</v>
      </c>
      <c r="F38">
        <v>5.5500000000000005E-4</v>
      </c>
      <c r="G38">
        <v>6.7029999999999998E-3</v>
      </c>
      <c r="H38">
        <v>17124.526365000002</v>
      </c>
      <c r="L38">
        <v>5</v>
      </c>
      <c r="M38">
        <v>5.8671000000000001E-2</v>
      </c>
      <c r="N38">
        <v>1.83E-4</v>
      </c>
      <c r="O38">
        <v>93527.171772000002</v>
      </c>
      <c r="P38">
        <v>0</v>
      </c>
      <c r="Q38">
        <v>5.3799999999999996E-4</v>
      </c>
      <c r="R38">
        <v>7.6813000000000006E-2</v>
      </c>
      <c r="S38">
        <v>10148.347632000001</v>
      </c>
    </row>
    <row r="39" spans="1:19">
      <c r="A39">
        <v>3</v>
      </c>
      <c r="B39">
        <v>1.0820000000000001E-3</v>
      </c>
      <c r="C39">
        <v>8.7000000000000001E-5</v>
      </c>
      <c r="D39">
        <v>52816.405672000001</v>
      </c>
      <c r="E39">
        <v>0</v>
      </c>
      <c r="F39">
        <v>5.8200000000000005E-4</v>
      </c>
      <c r="G39">
        <v>7.7739999999999997E-3</v>
      </c>
      <c r="H39">
        <v>17192.840388000001</v>
      </c>
      <c r="L39">
        <v>6</v>
      </c>
      <c r="M39">
        <v>7.9629000000000005E-2</v>
      </c>
      <c r="N39">
        <v>1.83E-4</v>
      </c>
      <c r="O39">
        <v>93581.651003999999</v>
      </c>
      <c r="P39">
        <v>0</v>
      </c>
      <c r="Q39">
        <v>5.62E-4</v>
      </c>
      <c r="R39">
        <v>0.10290100000000001</v>
      </c>
      <c r="S39">
        <v>10154.259007000001</v>
      </c>
    </row>
    <row r="40" spans="1:19">
      <c r="A40">
        <v>8</v>
      </c>
      <c r="B40">
        <v>1.0809999999999999E-3</v>
      </c>
      <c r="C40">
        <v>8.7000000000000001E-5</v>
      </c>
      <c r="D40">
        <v>52814.337176000001</v>
      </c>
      <c r="E40">
        <v>0</v>
      </c>
      <c r="F40">
        <v>5.7300000000000005E-4</v>
      </c>
      <c r="G40">
        <v>6.9160000000000003E-3</v>
      </c>
      <c r="H40">
        <v>17192.167049</v>
      </c>
      <c r="L40">
        <v>8</v>
      </c>
      <c r="M40">
        <v>6.3015000000000002E-2</v>
      </c>
      <c r="N40">
        <v>1.84E-4</v>
      </c>
      <c r="O40">
        <v>93568.601936999999</v>
      </c>
      <c r="P40">
        <v>0</v>
      </c>
      <c r="Q40">
        <v>6.9099999999999999E-4</v>
      </c>
      <c r="R40">
        <v>8.0697000000000005E-2</v>
      </c>
      <c r="S40">
        <v>10152.843091999999</v>
      </c>
    </row>
    <row r="41" spans="1:19">
      <c r="A41">
        <v>7</v>
      </c>
      <c r="B41">
        <v>1.098E-3</v>
      </c>
      <c r="C41">
        <v>8.7999999999999998E-5</v>
      </c>
      <c r="D41">
        <v>52400.23848</v>
      </c>
      <c r="E41">
        <v>0</v>
      </c>
      <c r="F41">
        <v>5.62E-4</v>
      </c>
      <c r="G41">
        <v>7.2259999999999998E-3</v>
      </c>
      <c r="H41">
        <v>17057.369297000001</v>
      </c>
      <c r="L41">
        <v>9</v>
      </c>
      <c r="M41">
        <v>6.8290000000000003E-2</v>
      </c>
      <c r="N41">
        <v>1.8200000000000001E-4</v>
      </c>
      <c r="O41">
        <v>93756.655790999997</v>
      </c>
      <c r="P41">
        <v>0</v>
      </c>
      <c r="Q41">
        <v>1.134E-3</v>
      </c>
      <c r="R41">
        <v>8.5583000000000006E-2</v>
      </c>
      <c r="S41">
        <v>10173.248240999999</v>
      </c>
    </row>
    <row r="42" spans="1:19">
      <c r="A42">
        <v>9</v>
      </c>
      <c r="B42">
        <v>1.0889999999999999E-3</v>
      </c>
      <c r="C42">
        <v>8.7999999999999998E-5</v>
      </c>
      <c r="D42">
        <v>52577.718644</v>
      </c>
      <c r="E42">
        <v>0</v>
      </c>
      <c r="F42">
        <v>5.3499999999999999E-4</v>
      </c>
      <c r="G42">
        <v>8.6130000000000009E-3</v>
      </c>
      <c r="H42">
        <v>17115.142788000001</v>
      </c>
      <c r="L42">
        <v>7</v>
      </c>
      <c r="M42">
        <v>6.2731999999999996E-2</v>
      </c>
      <c r="N42">
        <v>1.8100000000000001E-4</v>
      </c>
      <c r="O42">
        <v>93871.307348999995</v>
      </c>
      <c r="P42">
        <v>0</v>
      </c>
      <c r="Q42">
        <v>1.549E-3</v>
      </c>
      <c r="R42">
        <v>0.130603</v>
      </c>
      <c r="S42">
        <v>10185.688731</v>
      </c>
    </row>
    <row r="43" spans="1:19">
      <c r="A43">
        <v>10</v>
      </c>
      <c r="B43">
        <v>1.0709999999999999E-3</v>
      </c>
      <c r="C43">
        <v>8.6000000000000003E-5</v>
      </c>
      <c r="D43">
        <v>53163.191291000003</v>
      </c>
      <c r="E43">
        <v>0</v>
      </c>
      <c r="F43">
        <v>5.62E-4</v>
      </c>
      <c r="G43">
        <v>8.5339999999999999E-3</v>
      </c>
      <c r="H43">
        <v>17305.726331999998</v>
      </c>
      <c r="L43">
        <v>10</v>
      </c>
      <c r="M43">
        <v>6.8337999999999996E-2</v>
      </c>
      <c r="N43">
        <v>1.8200000000000001E-4</v>
      </c>
      <c r="O43">
        <v>93843.143574999995</v>
      </c>
      <c r="P43">
        <v>0</v>
      </c>
      <c r="Q43">
        <v>1.6869999999999999E-3</v>
      </c>
      <c r="R43">
        <v>8.5819999999999994E-2</v>
      </c>
      <c r="S43">
        <v>10182.632766000001</v>
      </c>
    </row>
    <row r="44" spans="1:19">
      <c r="A44" t="s">
        <v>28</v>
      </c>
      <c r="B44">
        <f t="shared" ref="B44:H44" si="4">AVERAGE(B34:B43)</f>
        <v>1.0847999999999999E-3</v>
      </c>
      <c r="C44">
        <f t="shared" si="4"/>
        <v>8.7200000000000005E-5</v>
      </c>
      <c r="D44">
        <f t="shared" si="4"/>
        <v>52658.845018100008</v>
      </c>
      <c r="E44">
        <f t="shared" si="4"/>
        <v>0</v>
      </c>
      <c r="F44">
        <f t="shared" si="4"/>
        <v>5.6559999999999998E-4</v>
      </c>
      <c r="G44">
        <f t="shared" si="4"/>
        <v>7.6267999999999987E-3</v>
      </c>
      <c r="H44">
        <f t="shared" si="4"/>
        <v>17141.551112699999</v>
      </c>
      <c r="L44" t="s">
        <v>28</v>
      </c>
      <c r="M44">
        <f t="shared" ref="M44:S44" si="5">AVERAGE(M34:M43)</f>
        <v>7.4549799999999999E-2</v>
      </c>
      <c r="N44">
        <f t="shared" si="5"/>
        <v>1.8249999999999999E-4</v>
      </c>
      <c r="O44">
        <f t="shared" si="5"/>
        <v>93688.492517399995</v>
      </c>
      <c r="P44">
        <f t="shared" si="5"/>
        <v>0</v>
      </c>
      <c r="Q44">
        <f t="shared" si="5"/>
        <v>7.6760000000000001E-4</v>
      </c>
      <c r="R44">
        <f t="shared" si="5"/>
        <v>0.10232559999999999</v>
      </c>
      <c r="S44">
        <f t="shared" si="5"/>
        <v>10165.852052699998</v>
      </c>
    </row>
    <row r="47" spans="1:19">
      <c r="A47" t="s">
        <v>33</v>
      </c>
      <c r="L47" t="s">
        <v>34</v>
      </c>
    </row>
    <row r="48" spans="1:19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L48" t="s">
        <v>17</v>
      </c>
      <c r="M48" t="s">
        <v>18</v>
      </c>
      <c r="N48" t="s">
        <v>19</v>
      </c>
      <c r="O48" t="s">
        <v>20</v>
      </c>
      <c r="P48" t="s">
        <v>21</v>
      </c>
      <c r="Q48" t="s">
        <v>22</v>
      </c>
      <c r="R48" t="s">
        <v>23</v>
      </c>
      <c r="S48" t="s">
        <v>24</v>
      </c>
    </row>
    <row r="49" spans="1:19">
      <c r="A49">
        <v>4</v>
      </c>
      <c r="B49">
        <v>9.9299999999999996E-4</v>
      </c>
      <c r="C49">
        <v>8.2999999999999998E-5</v>
      </c>
      <c r="D49">
        <v>70245.488265000007</v>
      </c>
      <c r="E49">
        <v>0</v>
      </c>
      <c r="F49">
        <v>5.1599999999999997E-4</v>
      </c>
      <c r="G49">
        <v>8.1250000000000003E-3</v>
      </c>
      <c r="H49">
        <v>17149.777408000002</v>
      </c>
      <c r="L49">
        <v>1</v>
      </c>
      <c r="M49">
        <v>8.7634000000000004E-2</v>
      </c>
      <c r="N49">
        <v>2.02E-4</v>
      </c>
      <c r="O49">
        <v>93871.733175000001</v>
      </c>
      <c r="P49">
        <v>0</v>
      </c>
      <c r="Q49">
        <v>2.0100000000000001E-4</v>
      </c>
      <c r="R49">
        <v>0.122117</v>
      </c>
      <c r="S49">
        <v>9167.1614430000009</v>
      </c>
    </row>
    <row r="50" spans="1:19">
      <c r="A50">
        <v>5</v>
      </c>
      <c r="B50">
        <v>9.9500000000000001E-4</v>
      </c>
      <c r="C50">
        <v>8.2999999999999998E-5</v>
      </c>
      <c r="D50">
        <v>70280.974872999999</v>
      </c>
      <c r="E50">
        <v>0</v>
      </c>
      <c r="F50">
        <v>5.1800000000000001E-4</v>
      </c>
      <c r="G50">
        <v>9.0130000000000002E-3</v>
      </c>
      <c r="H50">
        <v>17158.441131</v>
      </c>
      <c r="L50">
        <v>6</v>
      </c>
      <c r="M50">
        <v>9.3116000000000004E-2</v>
      </c>
      <c r="N50">
        <v>2.02E-4</v>
      </c>
      <c r="O50">
        <v>93896.389020999995</v>
      </c>
      <c r="P50">
        <v>0</v>
      </c>
      <c r="Q50">
        <v>1.95E-4</v>
      </c>
      <c r="R50">
        <v>0.12540599999999999</v>
      </c>
      <c r="S50">
        <v>9169.5692400000007</v>
      </c>
    </row>
    <row r="51" spans="1:19">
      <c r="A51">
        <v>1</v>
      </c>
      <c r="B51">
        <v>9.9700000000000006E-4</v>
      </c>
      <c r="C51">
        <v>8.2999999999999998E-5</v>
      </c>
      <c r="D51">
        <v>70327.333715999994</v>
      </c>
      <c r="E51">
        <v>0</v>
      </c>
      <c r="F51">
        <v>5.2499999999999997E-4</v>
      </c>
      <c r="G51">
        <v>8.5620000000000002E-3</v>
      </c>
      <c r="H51">
        <v>17169.759207999999</v>
      </c>
      <c r="L51">
        <v>7</v>
      </c>
      <c r="M51">
        <v>8.8583999999999996E-2</v>
      </c>
      <c r="N51">
        <v>2.03E-4</v>
      </c>
      <c r="O51">
        <v>93605.747545999999</v>
      </c>
      <c r="P51">
        <v>0</v>
      </c>
      <c r="Q51">
        <v>2.3800000000000001E-4</v>
      </c>
      <c r="R51">
        <v>0.11826200000000001</v>
      </c>
      <c r="S51">
        <v>9141.1862839999994</v>
      </c>
    </row>
    <row r="52" spans="1:19">
      <c r="A52">
        <v>3</v>
      </c>
      <c r="B52">
        <v>9.9299999999999996E-4</v>
      </c>
      <c r="C52">
        <v>8.2999999999999998E-5</v>
      </c>
      <c r="D52">
        <v>70197.295029999994</v>
      </c>
      <c r="E52">
        <v>0</v>
      </c>
      <c r="F52">
        <v>5.4900000000000001E-4</v>
      </c>
      <c r="G52">
        <v>7.5989999999999999E-3</v>
      </c>
      <c r="H52">
        <v>17138.011482000002</v>
      </c>
      <c r="L52">
        <v>2</v>
      </c>
      <c r="M52">
        <v>9.0562000000000004E-2</v>
      </c>
      <c r="N52">
        <v>2.03E-4</v>
      </c>
      <c r="O52">
        <v>93832.223838999998</v>
      </c>
      <c r="P52">
        <v>0</v>
      </c>
      <c r="Q52">
        <v>2.3900000000000001E-4</v>
      </c>
      <c r="R52">
        <v>0.12458900000000001</v>
      </c>
      <c r="S52">
        <v>9163.3031090000004</v>
      </c>
    </row>
    <row r="53" spans="1:19">
      <c r="A53">
        <v>2</v>
      </c>
      <c r="B53">
        <v>1.0020000000000001E-3</v>
      </c>
      <c r="C53">
        <v>8.3999999999999995E-5</v>
      </c>
      <c r="D53">
        <v>70230.519163000004</v>
      </c>
      <c r="E53">
        <v>0</v>
      </c>
      <c r="F53">
        <v>5.3799999999999996E-4</v>
      </c>
      <c r="G53">
        <v>7.8120000000000004E-3</v>
      </c>
      <c r="H53">
        <v>17146.122842000001</v>
      </c>
      <c r="L53">
        <v>5</v>
      </c>
      <c r="M53">
        <v>9.0555999999999998E-2</v>
      </c>
      <c r="N53">
        <v>2.04E-4</v>
      </c>
      <c r="O53">
        <v>93603.372841000004</v>
      </c>
      <c r="P53">
        <v>0</v>
      </c>
      <c r="Q53">
        <v>3.5100000000000002E-4</v>
      </c>
      <c r="R53">
        <v>0.120882</v>
      </c>
      <c r="S53">
        <v>9140.9543790000007</v>
      </c>
    </row>
    <row r="54" spans="1:19">
      <c r="A54">
        <v>6</v>
      </c>
      <c r="B54">
        <v>9.9799999999999997E-4</v>
      </c>
      <c r="C54">
        <v>8.3999999999999995E-5</v>
      </c>
      <c r="D54">
        <v>70139.937632999994</v>
      </c>
      <c r="E54">
        <v>0</v>
      </c>
      <c r="F54">
        <v>5.0900000000000001E-4</v>
      </c>
      <c r="G54">
        <v>7.9179999999999997E-3</v>
      </c>
      <c r="H54">
        <v>17124.008211</v>
      </c>
      <c r="L54">
        <v>3</v>
      </c>
      <c r="M54">
        <v>5.8620999999999999E-2</v>
      </c>
      <c r="N54">
        <v>2.04E-4</v>
      </c>
      <c r="O54">
        <v>93540.788293999998</v>
      </c>
      <c r="P54">
        <v>0</v>
      </c>
      <c r="Q54">
        <v>4.1100000000000002E-4</v>
      </c>
      <c r="R54">
        <v>7.5732999999999995E-2</v>
      </c>
      <c r="S54">
        <v>9134.8426070000005</v>
      </c>
    </row>
    <row r="55" spans="1:19">
      <c r="A55">
        <v>8</v>
      </c>
      <c r="B55">
        <v>1.0009999999999999E-3</v>
      </c>
      <c r="C55">
        <v>8.3999999999999995E-5</v>
      </c>
      <c r="D55">
        <v>69967.281067999997</v>
      </c>
      <c r="E55">
        <v>0</v>
      </c>
      <c r="F55">
        <v>5.5400000000000002E-4</v>
      </c>
      <c r="G55">
        <v>8.4030000000000007E-3</v>
      </c>
      <c r="H55">
        <v>17081.855728999999</v>
      </c>
      <c r="L55">
        <v>4</v>
      </c>
      <c r="M55">
        <v>6.7572999999999994E-2</v>
      </c>
      <c r="N55">
        <v>2.03E-4</v>
      </c>
      <c r="O55">
        <v>93568.884865999993</v>
      </c>
      <c r="P55">
        <v>0</v>
      </c>
      <c r="Q55">
        <v>7.45E-4</v>
      </c>
      <c r="R55">
        <v>8.6494000000000001E-2</v>
      </c>
      <c r="S55">
        <v>9137.5864130000009</v>
      </c>
    </row>
    <row r="56" spans="1:19">
      <c r="A56">
        <v>9</v>
      </c>
      <c r="B56">
        <v>9.9299999999999996E-4</v>
      </c>
      <c r="C56">
        <v>8.2999999999999998E-5</v>
      </c>
      <c r="D56">
        <v>70317.065661000001</v>
      </c>
      <c r="E56">
        <v>0</v>
      </c>
      <c r="F56">
        <v>5.2400000000000005E-4</v>
      </c>
      <c r="G56">
        <v>8.4679999999999998E-3</v>
      </c>
      <c r="H56">
        <v>17167.252358999998</v>
      </c>
      <c r="L56">
        <v>8</v>
      </c>
      <c r="M56">
        <v>6.0676000000000001E-2</v>
      </c>
      <c r="N56">
        <v>2.02E-4</v>
      </c>
      <c r="O56">
        <v>93555.410990000004</v>
      </c>
      <c r="P56">
        <v>0</v>
      </c>
      <c r="Q56">
        <v>1.903E-3</v>
      </c>
      <c r="R56">
        <v>9.0089000000000002E-2</v>
      </c>
      <c r="S56">
        <v>9136.2706039999994</v>
      </c>
    </row>
    <row r="57" spans="1:19">
      <c r="A57">
        <v>7</v>
      </c>
      <c r="B57">
        <v>1.0020000000000001E-3</v>
      </c>
      <c r="C57">
        <v>8.3999999999999995E-5</v>
      </c>
      <c r="D57">
        <v>69938.222055000006</v>
      </c>
      <c r="E57">
        <v>0</v>
      </c>
      <c r="F57">
        <v>5.0199999999999995E-4</v>
      </c>
      <c r="G57">
        <v>8.3389999999999992E-3</v>
      </c>
      <c r="H57">
        <v>17074.761244000001</v>
      </c>
      <c r="L57">
        <v>10</v>
      </c>
      <c r="M57">
        <v>6.2031999999999997E-2</v>
      </c>
      <c r="N57">
        <v>2.02E-4</v>
      </c>
      <c r="O57">
        <v>93589.183831000002</v>
      </c>
      <c r="P57">
        <v>0</v>
      </c>
      <c r="Q57">
        <v>1.49E-3</v>
      </c>
      <c r="R57">
        <v>9.5398999999999998E-2</v>
      </c>
      <c r="S57">
        <v>9139.5687330000001</v>
      </c>
    </row>
    <row r="58" spans="1:19">
      <c r="A58">
        <v>10</v>
      </c>
      <c r="B58">
        <v>9.9400000000000009E-4</v>
      </c>
      <c r="C58">
        <v>8.2999999999999998E-5</v>
      </c>
      <c r="D58">
        <v>70451.981037999998</v>
      </c>
      <c r="E58">
        <v>0</v>
      </c>
      <c r="F58">
        <v>5.0500000000000002E-4</v>
      </c>
      <c r="G58">
        <v>8.6899999999999998E-3</v>
      </c>
      <c r="H58">
        <v>17200.190683000001</v>
      </c>
      <c r="L58">
        <v>9</v>
      </c>
      <c r="M58">
        <v>7.4312000000000003E-2</v>
      </c>
      <c r="N58">
        <v>2.03E-4</v>
      </c>
      <c r="O58">
        <v>93671.173653999998</v>
      </c>
      <c r="P58">
        <v>0</v>
      </c>
      <c r="Q58">
        <v>1.761E-3</v>
      </c>
      <c r="R58">
        <v>9.7703999999999999E-2</v>
      </c>
      <c r="S58">
        <v>9147.5755520000002</v>
      </c>
    </row>
    <row r="59" spans="1:19">
      <c r="A59" t="s">
        <v>28</v>
      </c>
      <c r="B59">
        <f t="shared" ref="B59:H59" si="6">AVERAGE(B49:B58)</f>
        <v>9.9679999999999994E-4</v>
      </c>
      <c r="C59">
        <f t="shared" si="6"/>
        <v>8.3399999999999994E-5</v>
      </c>
      <c r="D59">
        <f t="shared" si="6"/>
        <v>70209.609850199995</v>
      </c>
      <c r="E59">
        <f t="shared" si="6"/>
        <v>0</v>
      </c>
      <c r="F59">
        <f t="shared" si="6"/>
        <v>5.2399999999999994E-4</v>
      </c>
      <c r="G59">
        <f t="shared" si="6"/>
        <v>8.2929000000000006E-3</v>
      </c>
      <c r="H59">
        <f t="shared" si="6"/>
        <v>17141.018029699997</v>
      </c>
      <c r="L59" t="s">
        <v>28</v>
      </c>
      <c r="M59">
        <f t="shared" ref="M59:S59" si="7">AVERAGE(M49:M58)</f>
        <v>7.7366599999999994E-2</v>
      </c>
      <c r="N59">
        <f t="shared" si="7"/>
        <v>2.028E-4</v>
      </c>
      <c r="O59">
        <f t="shared" si="7"/>
        <v>93673.490805699999</v>
      </c>
      <c r="P59">
        <f t="shared" si="7"/>
        <v>0</v>
      </c>
      <c r="Q59">
        <f t="shared" si="7"/>
        <v>7.534000000000001E-4</v>
      </c>
      <c r="R59">
        <f t="shared" si="7"/>
        <v>0.1056675</v>
      </c>
      <c r="S59">
        <f t="shared" si="7"/>
        <v>9147.8018363999981</v>
      </c>
    </row>
    <row r="62" spans="1:19">
      <c r="A62" t="s">
        <v>35</v>
      </c>
      <c r="L62" t="s">
        <v>36</v>
      </c>
    </row>
    <row r="63" spans="1:19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23</v>
      </c>
      <c r="H63" t="s">
        <v>24</v>
      </c>
      <c r="L63" t="s">
        <v>17</v>
      </c>
      <c r="M63" t="s">
        <v>18</v>
      </c>
      <c r="N63" t="s">
        <v>19</v>
      </c>
      <c r="O63" t="s">
        <v>20</v>
      </c>
      <c r="P63" t="s">
        <v>21</v>
      </c>
      <c r="Q63" t="s">
        <v>22</v>
      </c>
      <c r="R63" t="s">
        <v>23</v>
      </c>
      <c r="S63" t="s">
        <v>24</v>
      </c>
    </row>
    <row r="64" spans="1:19">
      <c r="A64">
        <v>2</v>
      </c>
      <c r="B64">
        <v>1.0150000000000001E-3</v>
      </c>
      <c r="C64">
        <v>8.5000000000000006E-5</v>
      </c>
      <c r="D64">
        <v>88185.687401000003</v>
      </c>
      <c r="E64">
        <v>0</v>
      </c>
      <c r="F64">
        <v>4.66E-4</v>
      </c>
      <c r="G64">
        <v>6.711E-3</v>
      </c>
      <c r="H64">
        <v>17223.767070999998</v>
      </c>
      <c r="L64">
        <v>3</v>
      </c>
      <c r="M64">
        <v>9.2085E-2</v>
      </c>
      <c r="N64">
        <v>2.23E-4</v>
      </c>
      <c r="O64">
        <v>94038.863861999998</v>
      </c>
      <c r="P64">
        <v>0</v>
      </c>
      <c r="Q64">
        <v>2.5000000000000001E-4</v>
      </c>
      <c r="R64">
        <v>0.128079</v>
      </c>
      <c r="S64">
        <v>8348.6207259999992</v>
      </c>
    </row>
    <row r="65" spans="1:19">
      <c r="A65">
        <v>5</v>
      </c>
      <c r="B65">
        <v>1.0139999999999999E-3</v>
      </c>
      <c r="C65">
        <v>8.5000000000000006E-5</v>
      </c>
      <c r="D65">
        <v>87904.242729999998</v>
      </c>
      <c r="E65">
        <v>0</v>
      </c>
      <c r="F65">
        <v>4.64E-4</v>
      </c>
      <c r="G65">
        <v>6.6410000000000002E-3</v>
      </c>
      <c r="H65">
        <v>17168.797407999999</v>
      </c>
      <c r="L65">
        <v>5</v>
      </c>
      <c r="M65">
        <v>8.7219000000000005E-2</v>
      </c>
      <c r="N65">
        <v>2.22E-4</v>
      </c>
      <c r="O65">
        <v>93989.359372000006</v>
      </c>
      <c r="P65">
        <v>0</v>
      </c>
      <c r="Q65">
        <v>3.6200000000000002E-4</v>
      </c>
      <c r="R65">
        <v>0.120391</v>
      </c>
      <c r="S65">
        <v>8344.2257969999991</v>
      </c>
    </row>
    <row r="66" spans="1:19">
      <c r="A66">
        <v>4</v>
      </c>
      <c r="B66">
        <v>1.021E-3</v>
      </c>
      <c r="C66">
        <v>8.5000000000000006E-5</v>
      </c>
      <c r="D66">
        <v>87940.084254999994</v>
      </c>
      <c r="E66">
        <v>0</v>
      </c>
      <c r="F66">
        <v>4.8000000000000001E-4</v>
      </c>
      <c r="G66">
        <v>8.6060000000000008E-3</v>
      </c>
      <c r="H66">
        <v>17175.797706000001</v>
      </c>
      <c r="L66">
        <v>4</v>
      </c>
      <c r="M66">
        <v>0.06</v>
      </c>
      <c r="N66">
        <v>2.24E-4</v>
      </c>
      <c r="O66">
        <v>93648.720986999993</v>
      </c>
      <c r="P66">
        <v>0</v>
      </c>
      <c r="Q66">
        <v>4.86E-4</v>
      </c>
      <c r="R66">
        <v>7.8809000000000004E-2</v>
      </c>
      <c r="S66">
        <v>8313.9844630000007</v>
      </c>
    </row>
    <row r="67" spans="1:19">
      <c r="A67">
        <v>1</v>
      </c>
      <c r="B67">
        <v>1.0120000000000001E-3</v>
      </c>
      <c r="C67">
        <v>8.3999999999999995E-5</v>
      </c>
      <c r="D67">
        <v>88853.572748999999</v>
      </c>
      <c r="E67">
        <v>0</v>
      </c>
      <c r="F67">
        <v>4.7600000000000002E-4</v>
      </c>
      <c r="G67">
        <v>8.9510000000000006E-3</v>
      </c>
      <c r="H67">
        <v>17354.213427999999</v>
      </c>
      <c r="L67">
        <v>1</v>
      </c>
      <c r="M67">
        <v>6.0121000000000001E-2</v>
      </c>
      <c r="N67">
        <v>2.24E-4</v>
      </c>
      <c r="O67">
        <v>93591.824819000001</v>
      </c>
      <c r="P67">
        <v>0</v>
      </c>
      <c r="Q67">
        <v>5.8799999999999998E-4</v>
      </c>
      <c r="R67">
        <v>7.9009999999999997E-2</v>
      </c>
      <c r="S67">
        <v>8308.9333110000007</v>
      </c>
    </row>
    <row r="68" spans="1:19">
      <c r="A68">
        <v>3</v>
      </c>
      <c r="B68">
        <v>1.0150000000000001E-3</v>
      </c>
      <c r="C68">
        <v>8.5000000000000006E-5</v>
      </c>
      <c r="D68">
        <v>87922.718473000001</v>
      </c>
      <c r="E68">
        <v>0</v>
      </c>
      <c r="F68">
        <v>4.9600000000000002E-4</v>
      </c>
      <c r="G68">
        <v>7.7489999999999998E-3</v>
      </c>
      <c r="H68">
        <v>17172.405952000001</v>
      </c>
      <c r="L68">
        <v>2</v>
      </c>
      <c r="M68">
        <v>7.4790999999999996E-2</v>
      </c>
      <c r="N68">
        <v>2.22E-4</v>
      </c>
      <c r="O68">
        <v>94320.302353000006</v>
      </c>
      <c r="P68">
        <v>0</v>
      </c>
      <c r="Q68">
        <v>5.6899999999999995E-4</v>
      </c>
      <c r="R68">
        <v>0.18526699999999999</v>
      </c>
      <c r="S68">
        <v>8373.6063880000002</v>
      </c>
    </row>
    <row r="69" spans="1:19">
      <c r="A69">
        <v>6</v>
      </c>
      <c r="B69">
        <v>1.01E-3</v>
      </c>
      <c r="C69">
        <v>8.3999999999999995E-5</v>
      </c>
      <c r="D69">
        <v>88578.921484999999</v>
      </c>
      <c r="E69">
        <v>0</v>
      </c>
      <c r="F69">
        <v>4.9700000000000005E-4</v>
      </c>
      <c r="G69">
        <v>6.6319999999999999E-3</v>
      </c>
      <c r="H69">
        <v>17300.570603</v>
      </c>
      <c r="L69">
        <v>7</v>
      </c>
      <c r="M69">
        <v>6.9728999999999999E-2</v>
      </c>
      <c r="N69">
        <v>2.24E-4</v>
      </c>
      <c r="O69">
        <v>93593.252955000004</v>
      </c>
      <c r="P69">
        <v>0</v>
      </c>
      <c r="Q69">
        <v>7.3499999999999998E-4</v>
      </c>
      <c r="R69">
        <v>9.0394000000000002E-2</v>
      </c>
      <c r="S69">
        <v>8309.0600990000003</v>
      </c>
    </row>
    <row r="70" spans="1:19">
      <c r="A70">
        <v>8</v>
      </c>
      <c r="B70">
        <v>1.0169999999999999E-3</v>
      </c>
      <c r="C70">
        <v>8.6000000000000003E-5</v>
      </c>
      <c r="D70">
        <v>87434.270306000006</v>
      </c>
      <c r="E70">
        <v>0</v>
      </c>
      <c r="F70">
        <v>4.7100000000000001E-4</v>
      </c>
      <c r="G70">
        <v>6.5620000000000001E-3</v>
      </c>
      <c r="H70">
        <v>17077.005918999999</v>
      </c>
      <c r="L70">
        <v>8</v>
      </c>
      <c r="M70">
        <v>6.9508E-2</v>
      </c>
      <c r="N70">
        <v>2.24E-4</v>
      </c>
      <c r="O70">
        <v>93567.527547999998</v>
      </c>
      <c r="P70">
        <v>0</v>
      </c>
      <c r="Q70">
        <v>1.4059999999999999E-3</v>
      </c>
      <c r="R70">
        <v>9.2194999999999999E-2</v>
      </c>
      <c r="S70">
        <v>8306.7762380000004</v>
      </c>
    </row>
    <row r="71" spans="1:19">
      <c r="A71">
        <v>7</v>
      </c>
      <c r="B71">
        <v>1.005E-3</v>
      </c>
      <c r="C71">
        <v>8.5000000000000006E-5</v>
      </c>
      <c r="D71">
        <v>88053.263261</v>
      </c>
      <c r="E71">
        <v>0</v>
      </c>
      <c r="F71">
        <v>4.3300000000000001E-4</v>
      </c>
      <c r="G71">
        <v>8.5349999999999992E-3</v>
      </c>
      <c r="H71">
        <v>17197.902980999999</v>
      </c>
      <c r="L71">
        <v>9</v>
      </c>
      <c r="M71">
        <v>6.9612999999999994E-2</v>
      </c>
      <c r="N71">
        <v>2.24E-4</v>
      </c>
      <c r="O71">
        <v>93588.534136999995</v>
      </c>
      <c r="P71">
        <v>0</v>
      </c>
      <c r="Q71">
        <v>1.6329999999999999E-3</v>
      </c>
      <c r="R71">
        <v>9.0522000000000005E-2</v>
      </c>
      <c r="S71">
        <v>8308.6411700000008</v>
      </c>
    </row>
    <row r="72" spans="1:19">
      <c r="A72">
        <v>9</v>
      </c>
      <c r="B72">
        <v>1.0169999999999999E-3</v>
      </c>
      <c r="C72">
        <v>8.5000000000000006E-5</v>
      </c>
      <c r="D72">
        <v>87969.060077000002</v>
      </c>
      <c r="E72">
        <v>0</v>
      </c>
      <c r="F72">
        <v>4.6900000000000002E-4</v>
      </c>
      <c r="G72">
        <v>6.8560000000000001E-3</v>
      </c>
      <c r="H72">
        <v>17181.457046</v>
      </c>
      <c r="L72">
        <v>10</v>
      </c>
      <c r="M72">
        <v>4.7650999999999999E-2</v>
      </c>
      <c r="N72">
        <v>2.23E-4</v>
      </c>
      <c r="O72">
        <v>93560.173928999997</v>
      </c>
      <c r="P72">
        <v>0</v>
      </c>
      <c r="Q72">
        <v>1.6069999999999999E-3</v>
      </c>
      <c r="R72">
        <v>6.4114000000000004E-2</v>
      </c>
      <c r="S72">
        <v>8306.1233960000009</v>
      </c>
    </row>
    <row r="73" spans="1:19">
      <c r="A73">
        <v>10</v>
      </c>
      <c r="B73">
        <v>1.0150000000000001E-3</v>
      </c>
      <c r="C73">
        <v>8.3999999999999995E-5</v>
      </c>
      <c r="D73">
        <v>87904.214372000002</v>
      </c>
      <c r="E73">
        <v>0</v>
      </c>
      <c r="F73">
        <v>4.4299999999999998E-4</v>
      </c>
      <c r="G73">
        <v>8.8660000000000006E-3</v>
      </c>
      <c r="H73">
        <v>17168.791869000001</v>
      </c>
      <c r="L73">
        <v>6</v>
      </c>
      <c r="M73">
        <v>6.9750999999999994E-2</v>
      </c>
      <c r="N73">
        <v>2.23E-4</v>
      </c>
      <c r="O73">
        <v>93758.153917999996</v>
      </c>
      <c r="P73">
        <v>0</v>
      </c>
      <c r="Q73">
        <v>1.506E-3</v>
      </c>
      <c r="R73">
        <v>9.2023999999999995E-2</v>
      </c>
      <c r="S73">
        <v>8323.6997439999996</v>
      </c>
    </row>
    <row r="74" spans="1:19">
      <c r="A74" t="s">
        <v>28</v>
      </c>
      <c r="B74">
        <f t="shared" ref="B74:H74" si="8">AVERAGE(B64:B73)</f>
        <v>1.0141E-3</v>
      </c>
      <c r="C74">
        <f t="shared" si="8"/>
        <v>8.4800000000000001E-5</v>
      </c>
      <c r="D74">
        <f t="shared" si="8"/>
        <v>88074.603510900008</v>
      </c>
      <c r="E74">
        <f t="shared" si="8"/>
        <v>0</v>
      </c>
      <c r="F74">
        <f t="shared" si="8"/>
        <v>4.6949999999999997E-4</v>
      </c>
      <c r="G74">
        <f t="shared" si="8"/>
        <v>7.6108999999999994E-3</v>
      </c>
      <c r="H74">
        <f t="shared" si="8"/>
        <v>17202.070998300002</v>
      </c>
      <c r="L74" t="s">
        <v>28</v>
      </c>
      <c r="M74">
        <f t="shared" ref="M74:S74" si="9">AVERAGE(M64:M73)</f>
        <v>7.0046799999999992E-2</v>
      </c>
      <c r="N74">
        <f t="shared" si="9"/>
        <v>2.2330000000000001E-4</v>
      </c>
      <c r="O74">
        <f t="shared" si="9"/>
        <v>93765.671388000017</v>
      </c>
      <c r="P74">
        <f t="shared" si="9"/>
        <v>0</v>
      </c>
      <c r="Q74">
        <f t="shared" si="9"/>
        <v>9.1419999999999989E-4</v>
      </c>
      <c r="R74">
        <f t="shared" si="9"/>
        <v>0.10208049999999999</v>
      </c>
      <c r="S74">
        <f t="shared" si="9"/>
        <v>8324.3671331999994</v>
      </c>
    </row>
    <row r="77" spans="1:19">
      <c r="A77" t="s">
        <v>37</v>
      </c>
      <c r="L77" t="s">
        <v>38</v>
      </c>
    </row>
    <row r="78" spans="1:19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L78" t="s">
        <v>17</v>
      </c>
      <c r="M78" t="s">
        <v>18</v>
      </c>
      <c r="N78" t="s">
        <v>19</v>
      </c>
      <c r="O78" t="s">
        <v>20</v>
      </c>
      <c r="P78" t="s">
        <v>21</v>
      </c>
      <c r="Q78" t="s">
        <v>22</v>
      </c>
      <c r="R78" t="s">
        <v>23</v>
      </c>
      <c r="S78" t="s">
        <v>24</v>
      </c>
    </row>
    <row r="79" spans="1:19">
      <c r="A79">
        <v>1</v>
      </c>
      <c r="B79">
        <v>0.10419299999999999</v>
      </c>
      <c r="C79">
        <v>1.8100000000000001E-4</v>
      </c>
      <c r="D79">
        <v>63536.483553999999</v>
      </c>
      <c r="E79">
        <v>0</v>
      </c>
      <c r="F79">
        <v>4.2200000000000001E-4</v>
      </c>
      <c r="G79">
        <v>0.19220400000000001</v>
      </c>
      <c r="H79">
        <v>10341.224537</v>
      </c>
      <c r="L79">
        <v>1</v>
      </c>
      <c r="M79">
        <v>9.3308000000000002E-2</v>
      </c>
      <c r="N79">
        <v>2.4399999999999999E-4</v>
      </c>
      <c r="O79">
        <v>94093.978273999994</v>
      </c>
      <c r="P79">
        <v>0</v>
      </c>
      <c r="Q79">
        <v>2.1100000000000001E-4</v>
      </c>
      <c r="R79">
        <v>0.12248000000000001</v>
      </c>
      <c r="S79">
        <v>7657.3875550000002</v>
      </c>
    </row>
    <row r="80" spans="1:19">
      <c r="A80">
        <v>5</v>
      </c>
      <c r="B80">
        <v>8.3440000000000007E-3</v>
      </c>
      <c r="C80">
        <v>1.0399999999999999E-4</v>
      </c>
      <c r="D80">
        <v>103481.78279300001</v>
      </c>
      <c r="E80">
        <v>0</v>
      </c>
      <c r="F80">
        <v>4.0400000000000001E-4</v>
      </c>
      <c r="G80">
        <v>2.9404E-2</v>
      </c>
      <c r="H80">
        <v>16842.738085000001</v>
      </c>
      <c r="L80">
        <v>5</v>
      </c>
      <c r="M80">
        <v>8.7354000000000001E-2</v>
      </c>
      <c r="N80">
        <v>2.43E-4</v>
      </c>
      <c r="O80">
        <v>94070.784274000005</v>
      </c>
      <c r="P80">
        <v>0</v>
      </c>
      <c r="Q80">
        <v>2.1499999999999999E-4</v>
      </c>
      <c r="R80">
        <v>0.11784</v>
      </c>
      <c r="S80">
        <v>7655.5000220000002</v>
      </c>
    </row>
    <row r="81" spans="1:19">
      <c r="A81">
        <v>3</v>
      </c>
      <c r="B81">
        <v>4.9249999999999997E-3</v>
      </c>
      <c r="C81">
        <v>1.02E-4</v>
      </c>
      <c r="D81">
        <v>103255.905294</v>
      </c>
      <c r="E81">
        <v>0</v>
      </c>
      <c r="F81">
        <v>4.64E-4</v>
      </c>
      <c r="G81">
        <v>3.0623000000000001E-2</v>
      </c>
      <c r="H81">
        <v>16805.974169000001</v>
      </c>
      <c r="L81">
        <v>3</v>
      </c>
      <c r="M81">
        <v>8.7853000000000001E-2</v>
      </c>
      <c r="N81">
        <v>2.4399999999999999E-4</v>
      </c>
      <c r="O81">
        <v>93836.153972</v>
      </c>
      <c r="P81">
        <v>0</v>
      </c>
      <c r="Q81">
        <v>2.8299999999999999E-4</v>
      </c>
      <c r="R81">
        <v>0.12317500000000001</v>
      </c>
      <c r="S81">
        <v>7636.4057590000002</v>
      </c>
    </row>
    <row r="82" spans="1:19">
      <c r="A82">
        <v>4</v>
      </c>
      <c r="B82">
        <v>1.7003999999999998E-2</v>
      </c>
      <c r="C82">
        <v>1.05E-4</v>
      </c>
      <c r="D82">
        <v>103794.810717</v>
      </c>
      <c r="E82">
        <v>0</v>
      </c>
      <c r="F82">
        <v>4.7800000000000002E-4</v>
      </c>
      <c r="G82">
        <v>4.8981999999999998E-2</v>
      </c>
      <c r="H82">
        <v>16893.68664</v>
      </c>
      <c r="L82">
        <v>4</v>
      </c>
      <c r="M82">
        <v>8.8658000000000001E-2</v>
      </c>
      <c r="N82">
        <v>2.4399999999999999E-4</v>
      </c>
      <c r="O82">
        <v>93708.201352999997</v>
      </c>
      <c r="P82">
        <v>0</v>
      </c>
      <c r="Q82">
        <v>3.9399999999999998E-4</v>
      </c>
      <c r="R82">
        <v>0.121153</v>
      </c>
      <c r="S82">
        <v>7625.9929490000004</v>
      </c>
    </row>
    <row r="83" spans="1:19">
      <c r="A83">
        <v>2</v>
      </c>
      <c r="B83">
        <v>1.4474000000000001E-2</v>
      </c>
      <c r="C83">
        <v>1.07E-4</v>
      </c>
      <c r="D83">
        <v>104087.026171</v>
      </c>
      <c r="E83">
        <v>0</v>
      </c>
      <c r="F83">
        <v>5.1000000000000004E-4</v>
      </c>
      <c r="G83">
        <v>3.3126000000000003E-2</v>
      </c>
      <c r="H83">
        <v>16941.247748999998</v>
      </c>
      <c r="L83">
        <v>2</v>
      </c>
      <c r="M83">
        <v>5.9419E-2</v>
      </c>
      <c r="N83">
        <v>2.4499999999999999E-4</v>
      </c>
      <c r="O83">
        <v>93559.300180000006</v>
      </c>
      <c r="P83">
        <v>0</v>
      </c>
      <c r="Q83">
        <v>5.5099999999999995E-4</v>
      </c>
      <c r="R83">
        <v>7.5153999999999999E-2</v>
      </c>
      <c r="S83">
        <v>7613.8753399999996</v>
      </c>
    </row>
    <row r="84" spans="1:19">
      <c r="A84">
        <v>8</v>
      </c>
      <c r="B84">
        <v>0.100346</v>
      </c>
      <c r="C84">
        <v>2.8400000000000002E-4</v>
      </c>
      <c r="D84">
        <v>41284.958423999997</v>
      </c>
      <c r="E84">
        <v>0</v>
      </c>
      <c r="F84">
        <v>5.3700000000000004E-4</v>
      </c>
      <c r="G84">
        <v>0.23253299999999999</v>
      </c>
      <c r="H84">
        <v>6719.5570349999998</v>
      </c>
      <c r="L84">
        <v>6</v>
      </c>
      <c r="M84">
        <v>6.9905999999999996E-2</v>
      </c>
      <c r="N84">
        <v>2.4399999999999999E-4</v>
      </c>
      <c r="O84">
        <v>93675.584942999994</v>
      </c>
      <c r="P84">
        <v>0</v>
      </c>
      <c r="Q84">
        <v>1.0059999999999999E-3</v>
      </c>
      <c r="R84">
        <v>9.0343000000000007E-2</v>
      </c>
      <c r="S84">
        <v>7623.3386179999998</v>
      </c>
    </row>
    <row r="85" spans="1:19">
      <c r="A85">
        <v>6</v>
      </c>
      <c r="B85">
        <v>1.3464E-2</v>
      </c>
      <c r="C85">
        <v>1.05E-4</v>
      </c>
      <c r="D85">
        <v>104033.15418100001</v>
      </c>
      <c r="E85">
        <v>0</v>
      </c>
      <c r="F85">
        <v>5.3200000000000003E-4</v>
      </c>
      <c r="G85">
        <v>4.385E-2</v>
      </c>
      <c r="H85">
        <v>16932.479522000001</v>
      </c>
      <c r="L85">
        <v>8</v>
      </c>
      <c r="M85">
        <v>4.6878000000000003E-2</v>
      </c>
      <c r="N85">
        <v>2.43E-4</v>
      </c>
      <c r="O85">
        <v>93459.627431999994</v>
      </c>
      <c r="P85">
        <v>0</v>
      </c>
      <c r="Q85">
        <v>1.7570000000000001E-3</v>
      </c>
      <c r="R85">
        <v>6.0985999999999999E-2</v>
      </c>
      <c r="S85">
        <v>7605.7639509999999</v>
      </c>
    </row>
    <row r="86" spans="1:19">
      <c r="A86">
        <v>10</v>
      </c>
      <c r="B86">
        <v>1.4526000000000001E-2</v>
      </c>
      <c r="C86">
        <v>1.07E-4</v>
      </c>
      <c r="D86">
        <v>103998.940275</v>
      </c>
      <c r="E86">
        <v>0</v>
      </c>
      <c r="F86">
        <v>5.1500000000000005E-4</v>
      </c>
      <c r="G86">
        <v>4.0940999999999998E-2</v>
      </c>
      <c r="H86">
        <v>16926.910852000001</v>
      </c>
      <c r="L86">
        <v>9</v>
      </c>
      <c r="M86">
        <v>4.5439E-2</v>
      </c>
      <c r="N86">
        <v>2.43E-4</v>
      </c>
      <c r="O86">
        <v>93464.873296999998</v>
      </c>
      <c r="P86">
        <v>0</v>
      </c>
      <c r="Q86">
        <v>1.578E-3</v>
      </c>
      <c r="R86">
        <v>5.8290000000000002E-2</v>
      </c>
      <c r="S86">
        <v>7606.190861</v>
      </c>
    </row>
    <row r="87" spans="1:19">
      <c r="A87">
        <v>7</v>
      </c>
      <c r="B87">
        <v>1.1364000000000001E-2</v>
      </c>
      <c r="C87">
        <v>1.06E-4</v>
      </c>
      <c r="D87">
        <v>104009.901427</v>
      </c>
      <c r="E87">
        <v>0</v>
      </c>
      <c r="F87">
        <v>5.5500000000000005E-4</v>
      </c>
      <c r="G87">
        <v>3.0714999999999999E-2</v>
      </c>
      <c r="H87">
        <v>16928.694894</v>
      </c>
      <c r="L87">
        <v>7</v>
      </c>
      <c r="M87">
        <v>6.9948999999999997E-2</v>
      </c>
      <c r="N87">
        <v>2.4499999999999999E-4</v>
      </c>
      <c r="O87">
        <v>93655.482954000006</v>
      </c>
      <c r="P87">
        <v>0</v>
      </c>
      <c r="Q87">
        <v>1.5200000000000001E-3</v>
      </c>
      <c r="R87">
        <v>9.2136999999999997E-2</v>
      </c>
      <c r="S87">
        <v>7621.702714</v>
      </c>
    </row>
    <row r="88" spans="1:19">
      <c r="A88">
        <v>9</v>
      </c>
      <c r="B88">
        <v>2.1343999999999998E-2</v>
      </c>
      <c r="C88">
        <v>1.07E-4</v>
      </c>
      <c r="D88">
        <v>104254.69818599999</v>
      </c>
      <c r="E88">
        <v>0</v>
      </c>
      <c r="F88">
        <v>6.1300000000000005E-4</v>
      </c>
      <c r="G88">
        <v>4.9119999999999997E-2</v>
      </c>
      <c r="H88">
        <v>16968.538116</v>
      </c>
      <c r="L88">
        <v>10</v>
      </c>
      <c r="M88">
        <v>0.141483</v>
      </c>
      <c r="N88">
        <v>2.4399999999999999E-4</v>
      </c>
      <c r="O88">
        <v>94134.776589999994</v>
      </c>
      <c r="P88">
        <v>0</v>
      </c>
      <c r="Q88">
        <v>1.596E-3</v>
      </c>
      <c r="R88">
        <v>0.17622499999999999</v>
      </c>
      <c r="S88">
        <v>7660.7077300000001</v>
      </c>
    </row>
    <row r="89" spans="1:19">
      <c r="A89" t="s">
        <v>28</v>
      </c>
      <c r="B89">
        <f t="shared" ref="B89:H89" si="10">AVERAGE(B79:B88)</f>
        <v>3.0998399999999992E-2</v>
      </c>
      <c r="C89">
        <f t="shared" si="10"/>
        <v>1.3080000000000001E-4</v>
      </c>
      <c r="D89">
        <f t="shared" si="10"/>
        <v>93573.76610220001</v>
      </c>
      <c r="E89">
        <f t="shared" si="10"/>
        <v>0</v>
      </c>
      <c r="F89">
        <f t="shared" si="10"/>
        <v>5.0299999999999997E-4</v>
      </c>
      <c r="G89">
        <f t="shared" si="10"/>
        <v>7.3149800000000001E-2</v>
      </c>
      <c r="H89">
        <f t="shared" si="10"/>
        <v>15230.1051599</v>
      </c>
      <c r="L89" t="s">
        <v>28</v>
      </c>
      <c r="M89">
        <f t="shared" ref="M89:S89" si="11">AVERAGE(M79:M88)</f>
        <v>7.9024700000000003E-2</v>
      </c>
      <c r="N89">
        <f t="shared" si="11"/>
        <v>2.4389999999999997E-4</v>
      </c>
      <c r="O89">
        <f t="shared" si="11"/>
        <v>93765.876326900005</v>
      </c>
      <c r="P89">
        <f t="shared" si="11"/>
        <v>0</v>
      </c>
      <c r="Q89">
        <f t="shared" si="11"/>
        <v>9.1110000000000008E-4</v>
      </c>
      <c r="R89">
        <f t="shared" si="11"/>
        <v>0.10377829999999999</v>
      </c>
      <c r="S89">
        <f t="shared" si="11"/>
        <v>7630.6865499000005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89"/>
  <sheetViews>
    <sheetView workbookViewId="0">
      <selection activeCell="W4" sqref="W4:Z15"/>
    </sheetView>
  </sheetViews>
  <sheetFormatPr defaultRowHeight="15"/>
  <sheetData>
    <row r="2" spans="1:26">
      <c r="A2" t="s">
        <v>15</v>
      </c>
      <c r="L2" t="s">
        <v>16</v>
      </c>
    </row>
    <row r="3" spans="1:26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V3" t="s">
        <v>6</v>
      </c>
      <c r="W3" t="s">
        <v>25</v>
      </c>
      <c r="X3" t="s">
        <v>26</v>
      </c>
      <c r="Y3" t="s">
        <v>27</v>
      </c>
      <c r="Z3" t="s">
        <v>21</v>
      </c>
    </row>
    <row r="4" spans="1:26">
      <c r="A4">
        <v>4</v>
      </c>
      <c r="B4">
        <v>2.0599999999999999E-4</v>
      </c>
      <c r="C4">
        <v>4.6999999999999997E-5</v>
      </c>
      <c r="D4">
        <v>17444.338902</v>
      </c>
      <c r="E4">
        <v>0.05</v>
      </c>
      <c r="F4">
        <v>9.3999999999999994E-5</v>
      </c>
      <c r="G4">
        <v>7.5300000000000002E-3</v>
      </c>
      <c r="H4">
        <v>17035.487208999999</v>
      </c>
      <c r="L4">
        <v>7</v>
      </c>
      <c r="M4">
        <v>5.4429999999999999E-3</v>
      </c>
      <c r="N4">
        <v>3.88E-4</v>
      </c>
      <c r="O4">
        <v>92406.959101</v>
      </c>
      <c r="P4">
        <v>0.05</v>
      </c>
      <c r="Q4">
        <v>-2.0000000000000002E-5</v>
      </c>
      <c r="R4">
        <v>1.1351999999999999E-2</v>
      </c>
      <c r="S4">
        <v>12891.595857</v>
      </c>
      <c r="V4">
        <v>128</v>
      </c>
      <c r="W4">
        <f>B14</f>
        <v>2.0589999999999996E-4</v>
      </c>
      <c r="X4">
        <f>C14</f>
        <v>4.6700000000000003E-5</v>
      </c>
      <c r="Y4">
        <f>D14</f>
        <v>17435.310517700003</v>
      </c>
      <c r="Z4">
        <f>E14</f>
        <v>0.10699999999999998</v>
      </c>
    </row>
    <row r="5" spans="1:26">
      <c r="A5">
        <v>7</v>
      </c>
      <c r="B5">
        <v>2.0599999999999999E-4</v>
      </c>
      <c r="C5">
        <v>4.6999999999999997E-5</v>
      </c>
      <c r="D5">
        <v>17374.783562000001</v>
      </c>
      <c r="E5">
        <v>0.05</v>
      </c>
      <c r="F5">
        <v>8.7000000000000001E-5</v>
      </c>
      <c r="G5">
        <v>7.5430000000000002E-3</v>
      </c>
      <c r="H5">
        <v>16967.562072000001</v>
      </c>
      <c r="L5">
        <v>1</v>
      </c>
      <c r="M5">
        <v>5.4460000000000003E-3</v>
      </c>
      <c r="N5">
        <v>3.9399999999999998E-4</v>
      </c>
      <c r="O5">
        <v>92404.483636999998</v>
      </c>
      <c r="P5">
        <v>0.05</v>
      </c>
      <c r="Q5">
        <v>-2.1999999999999999E-5</v>
      </c>
      <c r="R5">
        <v>1.2092E-2</v>
      </c>
      <c r="S5">
        <v>12891.250507000001</v>
      </c>
      <c r="V5">
        <v>256</v>
      </c>
      <c r="W5">
        <f>B29</f>
        <v>2.163E-4</v>
      </c>
      <c r="X5">
        <f>C29</f>
        <v>4.74E-5</v>
      </c>
      <c r="Y5">
        <f>D29</f>
        <v>34915.159222400005</v>
      </c>
      <c r="Z5">
        <f>E29</f>
        <v>5.7000000000000009E-2</v>
      </c>
    </row>
    <row r="6" spans="1:26">
      <c r="A6">
        <v>6</v>
      </c>
      <c r="B6">
        <v>2.0699999999999999E-4</v>
      </c>
      <c r="C6">
        <v>4.6999999999999997E-5</v>
      </c>
      <c r="D6">
        <v>17338.324343</v>
      </c>
      <c r="E6">
        <v>0.12</v>
      </c>
      <c r="F6">
        <v>9.0000000000000006E-5</v>
      </c>
      <c r="G6">
        <v>7.5360000000000002E-3</v>
      </c>
      <c r="H6">
        <v>16931.957365999999</v>
      </c>
      <c r="L6">
        <v>6</v>
      </c>
      <c r="M6">
        <v>5.4970000000000001E-3</v>
      </c>
      <c r="N6">
        <v>3.9199999999999999E-4</v>
      </c>
      <c r="O6">
        <v>92344.267888999995</v>
      </c>
      <c r="P6">
        <v>0.05</v>
      </c>
      <c r="Q6">
        <v>1.9999999999999999E-6</v>
      </c>
      <c r="R6">
        <v>9.4549999999999999E-3</v>
      </c>
      <c r="S6">
        <v>12882.849872999999</v>
      </c>
      <c r="V6">
        <v>384</v>
      </c>
      <c r="W6">
        <f>B44</f>
        <v>1.9569999999999999E-4</v>
      </c>
      <c r="X6">
        <f>C44</f>
        <v>4.3199999999999993E-5</v>
      </c>
      <c r="Y6">
        <f>D44</f>
        <v>52344.406540999997</v>
      </c>
      <c r="Z6">
        <f>E44</f>
        <v>0</v>
      </c>
    </row>
    <row r="7" spans="1:26">
      <c r="A7">
        <v>8</v>
      </c>
      <c r="B7">
        <v>2.05E-4</v>
      </c>
      <c r="C7">
        <v>4.6E-5</v>
      </c>
      <c r="D7">
        <v>17508.059703999999</v>
      </c>
      <c r="E7">
        <v>0.12</v>
      </c>
      <c r="F7">
        <v>9.2E-5</v>
      </c>
      <c r="G7">
        <v>7.489E-3</v>
      </c>
      <c r="H7">
        <v>17097.714554999999</v>
      </c>
      <c r="L7">
        <v>3</v>
      </c>
      <c r="M7">
        <v>5.4939999999999998E-3</v>
      </c>
      <c r="N7">
        <v>4.0000000000000002E-4</v>
      </c>
      <c r="O7">
        <v>92345.131995000003</v>
      </c>
      <c r="P7">
        <v>0.05</v>
      </c>
      <c r="Q7">
        <v>1.2999999999999999E-5</v>
      </c>
      <c r="R7">
        <v>1.1450999999999999E-2</v>
      </c>
      <c r="S7">
        <v>12882.970423000001</v>
      </c>
      <c r="V7">
        <v>512</v>
      </c>
      <c r="W7">
        <f>B59</f>
        <v>1.5990000000000004E-4</v>
      </c>
      <c r="X7">
        <f>C59</f>
        <v>3.4599999999999994E-5</v>
      </c>
      <c r="Y7">
        <f>D59</f>
        <v>69896.078420400008</v>
      </c>
      <c r="Z7">
        <f>E59</f>
        <v>6.0000000000000012E-2</v>
      </c>
    </row>
    <row r="8" spans="1:26">
      <c r="A8">
        <v>1</v>
      </c>
      <c r="B8">
        <v>2.05E-4</v>
      </c>
      <c r="C8">
        <v>4.6E-5</v>
      </c>
      <c r="D8">
        <v>17510.463038000002</v>
      </c>
      <c r="E8">
        <v>0.12</v>
      </c>
      <c r="F8">
        <v>9.3999999999999994E-5</v>
      </c>
      <c r="G8">
        <v>7.5380000000000004E-3</v>
      </c>
      <c r="H8">
        <v>17100.061559999998</v>
      </c>
      <c r="L8">
        <v>5</v>
      </c>
      <c r="M8">
        <v>5.5050000000000003E-3</v>
      </c>
      <c r="N8">
        <v>3.9599999999999998E-4</v>
      </c>
      <c r="O8">
        <v>92340.977568000002</v>
      </c>
      <c r="P8">
        <v>0.05</v>
      </c>
      <c r="Q8">
        <v>3.0000000000000001E-6</v>
      </c>
      <c r="R8">
        <v>1.1585E-2</v>
      </c>
      <c r="S8">
        <v>12882.390844</v>
      </c>
      <c r="V8">
        <v>640</v>
      </c>
      <c r="W8">
        <f>B74</f>
        <v>1.315E-4</v>
      </c>
      <c r="X8">
        <f>C74</f>
        <v>2.5100000000000004E-5</v>
      </c>
      <c r="Y8">
        <f>D74</f>
        <v>87271.564342499987</v>
      </c>
      <c r="Z8">
        <f>E74</f>
        <v>5.7000000000000009E-2</v>
      </c>
    </row>
    <row r="9" spans="1:26">
      <c r="A9">
        <v>5</v>
      </c>
      <c r="B9">
        <v>2.05E-4</v>
      </c>
      <c r="C9">
        <v>4.6E-5</v>
      </c>
      <c r="D9">
        <v>17591.057033000001</v>
      </c>
      <c r="E9">
        <v>0.12</v>
      </c>
      <c r="F9">
        <v>9.7E-5</v>
      </c>
      <c r="G9">
        <v>7.4949999999999999E-3</v>
      </c>
      <c r="H9">
        <v>17178.766634</v>
      </c>
      <c r="L9">
        <v>10</v>
      </c>
      <c r="M9">
        <v>5.5019999999999999E-3</v>
      </c>
      <c r="N9">
        <v>3.9100000000000002E-4</v>
      </c>
      <c r="O9">
        <v>92346.792103</v>
      </c>
      <c r="P9">
        <v>0.05</v>
      </c>
      <c r="Q9">
        <v>3.4E-5</v>
      </c>
      <c r="R9">
        <v>1.2467000000000001E-2</v>
      </c>
      <c r="S9">
        <v>12883.202023</v>
      </c>
      <c r="V9">
        <v>768</v>
      </c>
      <c r="W9">
        <f>B89</f>
        <v>4.7708000000000004E-3</v>
      </c>
      <c r="X9">
        <f>C89</f>
        <v>1.9919999999999999E-4</v>
      </c>
      <c r="Y9">
        <f>D89</f>
        <v>91048.274078000002</v>
      </c>
      <c r="Z9">
        <f>E89</f>
        <v>0.11000000000000001</v>
      </c>
    </row>
    <row r="10" spans="1:26">
      <c r="A10">
        <v>10</v>
      </c>
      <c r="B10">
        <v>2.0699999999999999E-4</v>
      </c>
      <c r="C10">
        <v>4.6999999999999997E-5</v>
      </c>
      <c r="D10">
        <v>17317.870458000001</v>
      </c>
      <c r="E10">
        <v>0.12</v>
      </c>
      <c r="F10">
        <v>8.8999999999999995E-5</v>
      </c>
      <c r="G10">
        <v>7.5249999999999996E-3</v>
      </c>
      <c r="H10">
        <v>16911.982868999999</v>
      </c>
      <c r="L10">
        <v>2</v>
      </c>
      <c r="M10">
        <v>5.5019999999999999E-3</v>
      </c>
      <c r="N10">
        <v>3.9500000000000001E-4</v>
      </c>
      <c r="O10">
        <v>92357.790288999997</v>
      </c>
      <c r="P10">
        <v>0.05</v>
      </c>
      <c r="Q10">
        <v>6.7999999999999999E-5</v>
      </c>
      <c r="R10">
        <v>1.0315E-2</v>
      </c>
      <c r="S10">
        <v>12884.736369</v>
      </c>
      <c r="V10">
        <v>896</v>
      </c>
      <c r="W10">
        <f>M14</f>
        <v>5.4885000000000003E-3</v>
      </c>
      <c r="X10">
        <f>N14</f>
        <v>3.9309999999999996E-4</v>
      </c>
      <c r="Y10">
        <f>O14</f>
        <v>92362.020713700011</v>
      </c>
      <c r="Z10">
        <f>P14</f>
        <v>5.1000000000000004E-2</v>
      </c>
    </row>
    <row r="11" spans="1:26">
      <c r="A11">
        <v>3</v>
      </c>
      <c r="B11">
        <v>2.05E-4</v>
      </c>
      <c r="C11">
        <v>4.6E-5</v>
      </c>
      <c r="D11">
        <v>17483.667359999999</v>
      </c>
      <c r="E11">
        <v>0.12</v>
      </c>
      <c r="F11">
        <v>9.2E-5</v>
      </c>
      <c r="G11">
        <v>7.4949999999999999E-3</v>
      </c>
      <c r="H11">
        <v>17073.893906000001</v>
      </c>
      <c r="L11">
        <v>9</v>
      </c>
      <c r="M11">
        <v>5.4970000000000001E-3</v>
      </c>
      <c r="N11">
        <v>3.9300000000000001E-4</v>
      </c>
      <c r="O11">
        <v>92354.022018000003</v>
      </c>
      <c r="P11">
        <v>0.06</v>
      </c>
      <c r="Q11">
        <v>6.6000000000000005E-5</v>
      </c>
      <c r="R11">
        <v>1.0631E-2</v>
      </c>
      <c r="S11">
        <v>12884.210660999999</v>
      </c>
      <c r="V11">
        <v>1024</v>
      </c>
      <c r="W11">
        <f>M29</f>
        <v>6.2165000000000007E-3</v>
      </c>
      <c r="X11">
        <f>N29</f>
        <v>5.6030000000000001E-4</v>
      </c>
      <c r="Y11">
        <f>O29</f>
        <v>93272.619037100012</v>
      </c>
      <c r="Z11">
        <f>P29</f>
        <v>5.7000000000000009E-2</v>
      </c>
    </row>
    <row r="12" spans="1:26">
      <c r="A12">
        <v>2</v>
      </c>
      <c r="B12">
        <v>2.0699999999999999E-4</v>
      </c>
      <c r="C12">
        <v>4.8000000000000001E-5</v>
      </c>
      <c r="D12">
        <v>17369.752772</v>
      </c>
      <c r="E12">
        <v>0.12</v>
      </c>
      <c r="F12">
        <v>8.5000000000000006E-5</v>
      </c>
      <c r="G12">
        <v>7.5339999999999999E-3</v>
      </c>
      <c r="H12">
        <v>16962.649192000001</v>
      </c>
      <c r="L12">
        <v>4</v>
      </c>
      <c r="M12">
        <v>5.496E-3</v>
      </c>
      <c r="N12">
        <v>3.8900000000000002E-4</v>
      </c>
      <c r="O12">
        <v>92354.411265000002</v>
      </c>
      <c r="P12">
        <v>0.05</v>
      </c>
      <c r="Q12">
        <v>8.6000000000000003E-5</v>
      </c>
      <c r="R12">
        <v>1.1346E-2</v>
      </c>
      <c r="S12">
        <v>12884.264964</v>
      </c>
      <c r="V12">
        <v>1152</v>
      </c>
      <c r="W12">
        <f>M44</f>
        <v>7.0336999999999995E-3</v>
      </c>
      <c r="X12">
        <f>N44</f>
        <v>7.2110000000000002E-4</v>
      </c>
      <c r="Y12">
        <f>O44</f>
        <v>93965.6773579</v>
      </c>
      <c r="Z12">
        <f>P44</f>
        <v>9.3999999999999986E-2</v>
      </c>
    </row>
    <row r="13" spans="1:26">
      <c r="A13">
        <v>9</v>
      </c>
      <c r="B13">
        <v>2.0599999999999999E-4</v>
      </c>
      <c r="C13">
        <v>4.6999999999999997E-5</v>
      </c>
      <c r="D13">
        <v>17414.788004999999</v>
      </c>
      <c r="E13">
        <v>0.13</v>
      </c>
      <c r="F13">
        <v>9.6000000000000002E-5</v>
      </c>
      <c r="G13">
        <v>7.5380000000000004E-3</v>
      </c>
      <c r="H13">
        <v>17006.628911</v>
      </c>
      <c r="L13">
        <v>8</v>
      </c>
      <c r="M13">
        <v>5.5030000000000001E-3</v>
      </c>
      <c r="N13">
        <v>3.9300000000000001E-4</v>
      </c>
      <c r="O13">
        <v>92365.371272000004</v>
      </c>
      <c r="P13">
        <v>0.05</v>
      </c>
      <c r="Q13">
        <v>1.46E-4</v>
      </c>
      <c r="R13">
        <v>1.1582E-2</v>
      </c>
      <c r="S13">
        <v>12885.793983</v>
      </c>
      <c r="V13">
        <v>1280</v>
      </c>
      <c r="W13">
        <f>M59</f>
        <v>8.0292999999999996E-3</v>
      </c>
      <c r="X13">
        <f>N59</f>
        <v>8.7240000000000006E-4</v>
      </c>
      <c r="Y13">
        <f>O59</f>
        <v>94579.08427810001</v>
      </c>
      <c r="Z13">
        <f>P59</f>
        <v>9.6999999999999989E-2</v>
      </c>
    </row>
    <row r="14" spans="1:26">
      <c r="A14" t="s">
        <v>28</v>
      </c>
      <c r="B14">
        <f t="shared" ref="B14:H14" si="0">AVERAGE(B4:B13)</f>
        <v>2.0589999999999996E-4</v>
      </c>
      <c r="C14">
        <f t="shared" si="0"/>
        <v>4.6700000000000003E-5</v>
      </c>
      <c r="D14">
        <f t="shared" si="0"/>
        <v>17435.310517700003</v>
      </c>
      <c r="E14">
        <f t="shared" si="0"/>
        <v>0.10699999999999998</v>
      </c>
      <c r="F14">
        <f t="shared" si="0"/>
        <v>9.159999999999999E-5</v>
      </c>
      <c r="G14">
        <f t="shared" si="0"/>
        <v>7.5223000000000009E-3</v>
      </c>
      <c r="H14">
        <f t="shared" si="0"/>
        <v>17026.6704274</v>
      </c>
      <c r="L14" t="s">
        <v>28</v>
      </c>
      <c r="M14">
        <f t="shared" ref="M14:S14" si="1">AVERAGE(M4:M13)</f>
        <v>5.4885000000000003E-3</v>
      </c>
      <c r="N14">
        <f t="shared" si="1"/>
        <v>3.9309999999999996E-4</v>
      </c>
      <c r="O14">
        <f t="shared" si="1"/>
        <v>92362.020713700011</v>
      </c>
      <c r="P14">
        <f t="shared" si="1"/>
        <v>5.1000000000000004E-2</v>
      </c>
      <c r="Q14">
        <f t="shared" si="1"/>
        <v>3.7600000000000006E-5</v>
      </c>
      <c r="R14">
        <f t="shared" si="1"/>
        <v>1.1227600000000001E-2</v>
      </c>
      <c r="S14">
        <f t="shared" si="1"/>
        <v>12885.326550400001</v>
      </c>
      <c r="V14">
        <v>1408</v>
      </c>
      <c r="W14">
        <f>M74</f>
        <v>8.6700000000000006E-3</v>
      </c>
      <c r="X14">
        <f>N74</f>
        <v>1.0003999999999998E-3</v>
      </c>
      <c r="Y14">
        <f>O74</f>
        <v>95081.757291000016</v>
      </c>
      <c r="Z14">
        <f>P74</f>
        <v>0.63500000000000001</v>
      </c>
    </row>
    <row r="15" spans="1:26">
      <c r="V15">
        <v>1536</v>
      </c>
      <c r="W15">
        <f>M89</f>
        <v>6.9197000000000009E-3</v>
      </c>
      <c r="X15">
        <f>N89</f>
        <v>8.9080000000000008E-4</v>
      </c>
      <c r="Y15">
        <f>O89</f>
        <v>91791.549937000003</v>
      </c>
      <c r="Z15">
        <f>P89</f>
        <v>7.3999999999999996E-2</v>
      </c>
    </row>
    <row r="17" spans="1:19">
      <c r="A17" t="s">
        <v>29</v>
      </c>
      <c r="L17" t="s">
        <v>30</v>
      </c>
    </row>
    <row r="18" spans="1:19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L18" t="s">
        <v>17</v>
      </c>
      <c r="M18" t="s">
        <v>18</v>
      </c>
      <c r="N18" t="s">
        <v>19</v>
      </c>
      <c r="O18" t="s">
        <v>20</v>
      </c>
      <c r="P18" t="s">
        <v>21</v>
      </c>
      <c r="Q18" t="s">
        <v>22</v>
      </c>
      <c r="R18" t="s">
        <v>23</v>
      </c>
      <c r="S18" t="s">
        <v>24</v>
      </c>
    </row>
    <row r="19" spans="1:19">
      <c r="A19">
        <v>1</v>
      </c>
      <c r="B19">
        <v>2.1599999999999999E-4</v>
      </c>
      <c r="C19">
        <v>4.6999999999999997E-5</v>
      </c>
      <c r="D19">
        <v>35165.638635000003</v>
      </c>
      <c r="E19">
        <v>0.05</v>
      </c>
      <c r="F19">
        <v>9.8999999999999994E-5</v>
      </c>
      <c r="G19">
        <v>6.2300000000000003E-3</v>
      </c>
      <c r="H19">
        <v>17170.721989999998</v>
      </c>
      <c r="L19">
        <v>1</v>
      </c>
      <c r="M19">
        <v>6.1580000000000003E-3</v>
      </c>
      <c r="N19">
        <v>5.5099999999999995E-4</v>
      </c>
      <c r="O19">
        <v>93450.605207999994</v>
      </c>
      <c r="P19">
        <v>0.05</v>
      </c>
      <c r="Q19">
        <v>-6.0000000000000002E-6</v>
      </c>
      <c r="R19">
        <v>1.252E-2</v>
      </c>
      <c r="S19">
        <v>11407.544581</v>
      </c>
    </row>
    <row r="20" spans="1:19">
      <c r="A20">
        <v>2</v>
      </c>
      <c r="B20">
        <v>2.1800000000000001E-4</v>
      </c>
      <c r="C20">
        <v>4.8000000000000001E-5</v>
      </c>
      <c r="D20">
        <v>34686.576656999998</v>
      </c>
      <c r="E20">
        <v>0.05</v>
      </c>
      <c r="F20">
        <v>1.03E-4</v>
      </c>
      <c r="G20">
        <v>6.2240000000000004E-3</v>
      </c>
      <c r="H20">
        <v>16936.805007999999</v>
      </c>
      <c r="L20">
        <v>2</v>
      </c>
      <c r="M20">
        <v>6.1630000000000001E-3</v>
      </c>
      <c r="N20">
        <v>5.4799999999999998E-4</v>
      </c>
      <c r="O20">
        <v>93446.753196000005</v>
      </c>
      <c r="P20">
        <v>0.05</v>
      </c>
      <c r="Q20">
        <v>-5.0000000000000004E-6</v>
      </c>
      <c r="R20">
        <v>1.4009000000000001E-2</v>
      </c>
      <c r="S20">
        <v>11407.074365</v>
      </c>
    </row>
    <row r="21" spans="1:19">
      <c r="A21">
        <v>3</v>
      </c>
      <c r="B21">
        <v>2.1499999999999999E-4</v>
      </c>
      <c r="C21">
        <v>4.6999999999999997E-5</v>
      </c>
      <c r="D21">
        <v>35026.818117000003</v>
      </c>
      <c r="E21">
        <v>0.06</v>
      </c>
      <c r="F21">
        <v>1.0399999999999999E-4</v>
      </c>
      <c r="G21">
        <v>6.2290000000000002E-3</v>
      </c>
      <c r="H21">
        <v>17102.938534000001</v>
      </c>
      <c r="L21">
        <v>6</v>
      </c>
      <c r="M21">
        <v>6.2290000000000002E-3</v>
      </c>
      <c r="N21">
        <v>5.4900000000000001E-4</v>
      </c>
      <c r="O21">
        <v>93232.765687000006</v>
      </c>
      <c r="P21">
        <v>0.05</v>
      </c>
      <c r="Q21">
        <v>9.9999999999999995E-7</v>
      </c>
      <c r="R21">
        <v>1.0626E-2</v>
      </c>
      <c r="S21">
        <v>11380.952842999999</v>
      </c>
    </row>
    <row r="22" spans="1:19">
      <c r="A22">
        <v>7</v>
      </c>
      <c r="B22">
        <v>2.1699999999999999E-4</v>
      </c>
      <c r="C22">
        <v>4.8000000000000001E-5</v>
      </c>
      <c r="D22">
        <v>35119.497338000001</v>
      </c>
      <c r="E22">
        <v>0.06</v>
      </c>
      <c r="F22">
        <v>1.0399999999999999E-4</v>
      </c>
      <c r="G22">
        <v>6.2249999999999996E-3</v>
      </c>
      <c r="H22">
        <v>17148.192060000001</v>
      </c>
      <c r="L22">
        <v>7</v>
      </c>
      <c r="M22">
        <v>6.2290000000000002E-3</v>
      </c>
      <c r="N22">
        <v>5.6999999999999998E-4</v>
      </c>
      <c r="O22">
        <v>93232.881827000005</v>
      </c>
      <c r="P22">
        <v>0.06</v>
      </c>
      <c r="Q22">
        <v>3.0000000000000001E-5</v>
      </c>
      <c r="R22">
        <v>1.1893000000000001E-2</v>
      </c>
      <c r="S22">
        <v>11380.96702</v>
      </c>
    </row>
    <row r="23" spans="1:19">
      <c r="A23">
        <v>5</v>
      </c>
      <c r="B23">
        <v>2.13E-4</v>
      </c>
      <c r="C23">
        <v>4.6E-5</v>
      </c>
      <c r="D23">
        <v>35054.007662000004</v>
      </c>
      <c r="E23">
        <v>0.06</v>
      </c>
      <c r="F23">
        <v>9.8999999999999994E-5</v>
      </c>
      <c r="G23">
        <v>6.2240000000000004E-3</v>
      </c>
      <c r="H23">
        <v>17116.214679000001</v>
      </c>
      <c r="L23">
        <v>8</v>
      </c>
      <c r="M23">
        <v>6.2269999999999999E-3</v>
      </c>
      <c r="N23">
        <v>5.6700000000000001E-4</v>
      </c>
      <c r="O23">
        <v>93232.709778000004</v>
      </c>
      <c r="P23">
        <v>0.06</v>
      </c>
      <c r="Q23">
        <v>3.6000000000000001E-5</v>
      </c>
      <c r="R23">
        <v>1.1674E-2</v>
      </c>
      <c r="S23">
        <v>11380.946018000001</v>
      </c>
    </row>
    <row r="24" spans="1:19">
      <c r="A24">
        <v>4</v>
      </c>
      <c r="B24">
        <v>2.1699999999999999E-4</v>
      </c>
      <c r="C24">
        <v>4.8000000000000001E-5</v>
      </c>
      <c r="D24">
        <v>34734.392477000001</v>
      </c>
      <c r="E24">
        <v>0.05</v>
      </c>
      <c r="F24">
        <v>1.05E-4</v>
      </c>
      <c r="G24">
        <v>6.2249999999999996E-3</v>
      </c>
      <c r="H24">
        <v>16960.152576</v>
      </c>
      <c r="L24">
        <v>4</v>
      </c>
      <c r="M24">
        <v>6.228E-3</v>
      </c>
      <c r="N24">
        <v>5.6599999999999999E-4</v>
      </c>
      <c r="O24">
        <v>93227.081334000002</v>
      </c>
      <c r="P24">
        <v>0.06</v>
      </c>
      <c r="Q24">
        <v>6.2000000000000003E-5</v>
      </c>
      <c r="R24">
        <v>1.1464999999999999E-2</v>
      </c>
      <c r="S24">
        <v>11380.258952</v>
      </c>
    </row>
    <row r="25" spans="1:19">
      <c r="A25">
        <v>6</v>
      </c>
      <c r="B25">
        <v>2.1499999999999999E-4</v>
      </c>
      <c r="C25">
        <v>4.6999999999999997E-5</v>
      </c>
      <c r="D25">
        <v>35001.991613999999</v>
      </c>
      <c r="E25">
        <v>0.06</v>
      </c>
      <c r="F25">
        <v>9.7E-5</v>
      </c>
      <c r="G25">
        <v>6.1799999999999997E-3</v>
      </c>
      <c r="H25">
        <v>17090.816218</v>
      </c>
      <c r="L25">
        <v>5</v>
      </c>
      <c r="M25">
        <v>6.2310000000000004E-3</v>
      </c>
      <c r="N25">
        <v>5.7300000000000005E-4</v>
      </c>
      <c r="O25">
        <v>93227.029016999993</v>
      </c>
      <c r="P25">
        <v>0.06</v>
      </c>
      <c r="Q25">
        <v>5.1999999999999997E-5</v>
      </c>
      <c r="R25">
        <v>1.1731E-2</v>
      </c>
      <c r="S25">
        <v>11380.252565999999</v>
      </c>
    </row>
    <row r="26" spans="1:19">
      <c r="A26">
        <v>9</v>
      </c>
      <c r="B26">
        <v>2.1599999999999999E-4</v>
      </c>
      <c r="C26">
        <v>4.6999999999999997E-5</v>
      </c>
      <c r="D26">
        <v>34917.863635000002</v>
      </c>
      <c r="E26">
        <v>0.06</v>
      </c>
      <c r="F26">
        <v>1.01E-4</v>
      </c>
      <c r="G26">
        <v>6.2300000000000003E-3</v>
      </c>
      <c r="H26">
        <v>17049.738103</v>
      </c>
      <c r="L26">
        <v>9</v>
      </c>
      <c r="M26">
        <v>6.2310000000000004E-3</v>
      </c>
      <c r="N26">
        <v>5.6599999999999999E-4</v>
      </c>
      <c r="O26">
        <v>93222.545811000004</v>
      </c>
      <c r="P26">
        <v>0.06</v>
      </c>
      <c r="Q26">
        <v>6.6000000000000005E-5</v>
      </c>
      <c r="R26">
        <v>1.103E-2</v>
      </c>
      <c r="S26">
        <v>11379.705298999999</v>
      </c>
    </row>
    <row r="27" spans="1:19">
      <c r="A27">
        <v>10</v>
      </c>
      <c r="B27">
        <v>2.1800000000000001E-4</v>
      </c>
      <c r="C27">
        <v>4.8000000000000001E-5</v>
      </c>
      <c r="D27">
        <v>34688.357706000003</v>
      </c>
      <c r="E27">
        <v>0.06</v>
      </c>
      <c r="F27">
        <v>1.06E-4</v>
      </c>
      <c r="G27">
        <v>6.2300000000000003E-3</v>
      </c>
      <c r="H27">
        <v>16937.674661000001</v>
      </c>
      <c r="L27">
        <v>10</v>
      </c>
      <c r="M27">
        <v>6.2310000000000004E-3</v>
      </c>
      <c r="N27">
        <v>5.6300000000000002E-4</v>
      </c>
      <c r="O27">
        <v>93220.953311000005</v>
      </c>
      <c r="P27">
        <v>0.06</v>
      </c>
      <c r="Q27">
        <v>1.16E-4</v>
      </c>
      <c r="R27">
        <v>1.3775000000000001E-2</v>
      </c>
      <c r="S27">
        <v>11379.510902</v>
      </c>
    </row>
    <row r="28" spans="1:19">
      <c r="A28">
        <v>8</v>
      </c>
      <c r="B28">
        <v>2.1800000000000001E-4</v>
      </c>
      <c r="C28">
        <v>4.8000000000000001E-5</v>
      </c>
      <c r="D28">
        <v>34756.448383000003</v>
      </c>
      <c r="E28">
        <v>0.06</v>
      </c>
      <c r="F28">
        <v>1.03E-4</v>
      </c>
      <c r="G28">
        <v>6.1789999999999996E-3</v>
      </c>
      <c r="H28">
        <v>16970.922062000001</v>
      </c>
      <c r="L28">
        <v>3</v>
      </c>
      <c r="M28">
        <v>6.2379999999999996E-3</v>
      </c>
      <c r="N28">
        <v>5.5000000000000003E-4</v>
      </c>
      <c r="O28">
        <v>93232.865202000001</v>
      </c>
      <c r="P28">
        <v>0.06</v>
      </c>
      <c r="Q28">
        <v>1.9599999999999999E-4</v>
      </c>
      <c r="R28">
        <v>1.4145E-2</v>
      </c>
      <c r="S28">
        <v>11380.96499</v>
      </c>
    </row>
    <row r="29" spans="1:19">
      <c r="A29" t="s">
        <v>28</v>
      </c>
      <c r="B29">
        <f t="shared" ref="B29:H29" si="2">AVERAGE(B19:B28)</f>
        <v>2.163E-4</v>
      </c>
      <c r="C29">
        <f t="shared" si="2"/>
        <v>4.74E-5</v>
      </c>
      <c r="D29">
        <f t="shared" si="2"/>
        <v>34915.159222400005</v>
      </c>
      <c r="E29">
        <f t="shared" si="2"/>
        <v>5.7000000000000009E-2</v>
      </c>
      <c r="F29">
        <f t="shared" si="2"/>
        <v>1.0209999999999997E-4</v>
      </c>
      <c r="G29">
        <f t="shared" si="2"/>
        <v>6.2175999999999993E-3</v>
      </c>
      <c r="H29">
        <f t="shared" si="2"/>
        <v>17048.417589099998</v>
      </c>
      <c r="L29" t="s">
        <v>28</v>
      </c>
      <c r="M29">
        <f t="shared" ref="M29:S29" si="3">AVERAGE(M19:M28)</f>
        <v>6.2165000000000007E-3</v>
      </c>
      <c r="N29">
        <f t="shared" si="3"/>
        <v>5.6030000000000001E-4</v>
      </c>
      <c r="O29">
        <f t="shared" si="3"/>
        <v>93272.619037100012</v>
      </c>
      <c r="P29">
        <f t="shared" si="3"/>
        <v>5.7000000000000009E-2</v>
      </c>
      <c r="Q29">
        <f t="shared" si="3"/>
        <v>5.4799999999999997E-5</v>
      </c>
      <c r="R29">
        <f t="shared" si="3"/>
        <v>1.22868E-2</v>
      </c>
      <c r="S29">
        <f t="shared" si="3"/>
        <v>11385.8177536</v>
      </c>
    </row>
    <row r="32" spans="1:19">
      <c r="A32" t="s">
        <v>31</v>
      </c>
      <c r="L32" t="s">
        <v>32</v>
      </c>
    </row>
    <row r="33" spans="1:19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L33" t="s">
        <v>17</v>
      </c>
      <c r="M33" t="s">
        <v>18</v>
      </c>
      <c r="N33" t="s">
        <v>19</v>
      </c>
      <c r="O33" t="s">
        <v>20</v>
      </c>
      <c r="P33" t="s">
        <v>21</v>
      </c>
      <c r="Q33" t="s">
        <v>22</v>
      </c>
      <c r="R33" t="s">
        <v>23</v>
      </c>
      <c r="S33" t="s">
        <v>24</v>
      </c>
    </row>
    <row r="34" spans="1:19">
      <c r="A34">
        <v>1</v>
      </c>
      <c r="B34">
        <v>2.0000000000000001E-4</v>
      </c>
      <c r="C34">
        <v>4.5000000000000003E-5</v>
      </c>
      <c r="D34">
        <v>52156.590735999998</v>
      </c>
      <c r="E34">
        <v>0</v>
      </c>
      <c r="F34">
        <v>9.1000000000000003E-5</v>
      </c>
      <c r="G34">
        <v>5.53E-4</v>
      </c>
      <c r="H34">
        <v>16978.05688</v>
      </c>
      <c r="L34">
        <v>1</v>
      </c>
      <c r="M34">
        <v>6.9569999999999996E-3</v>
      </c>
      <c r="N34">
        <v>7.0600000000000003E-4</v>
      </c>
      <c r="O34">
        <v>94279.806217000005</v>
      </c>
      <c r="P34">
        <v>0.09</v>
      </c>
      <c r="Q34">
        <v>-5.1E-5</v>
      </c>
      <c r="R34">
        <v>1.4009000000000001E-2</v>
      </c>
      <c r="S34">
        <v>10230.013695</v>
      </c>
    </row>
    <row r="35" spans="1:19">
      <c r="A35">
        <v>5</v>
      </c>
      <c r="B35">
        <v>1.9699999999999999E-4</v>
      </c>
      <c r="C35">
        <v>4.3000000000000002E-5</v>
      </c>
      <c r="D35">
        <v>52137.750205999997</v>
      </c>
      <c r="E35">
        <v>0</v>
      </c>
      <c r="F35">
        <v>8.6000000000000003E-5</v>
      </c>
      <c r="G35">
        <v>4.8799999999999999E-4</v>
      </c>
      <c r="H35">
        <v>16971.923895</v>
      </c>
      <c r="L35">
        <v>2</v>
      </c>
      <c r="M35">
        <v>6.9560000000000004E-3</v>
      </c>
      <c r="N35">
        <v>7.2599999999999997E-4</v>
      </c>
      <c r="O35">
        <v>94257.231224000003</v>
      </c>
      <c r="P35">
        <v>0.09</v>
      </c>
      <c r="Q35">
        <v>-5.3999999999999998E-5</v>
      </c>
      <c r="R35">
        <v>1.3348E-2</v>
      </c>
      <c r="S35">
        <v>10227.564152000001</v>
      </c>
    </row>
    <row r="36" spans="1:19">
      <c r="A36">
        <v>9</v>
      </c>
      <c r="B36">
        <v>1.92E-4</v>
      </c>
      <c r="C36">
        <v>4.1999999999999998E-5</v>
      </c>
      <c r="D36">
        <v>52528.632089999999</v>
      </c>
      <c r="E36">
        <v>0</v>
      </c>
      <c r="F36">
        <v>8.8999999999999995E-5</v>
      </c>
      <c r="G36">
        <v>4.35E-4</v>
      </c>
      <c r="H36">
        <v>17099.164091999999</v>
      </c>
      <c r="L36">
        <v>9</v>
      </c>
      <c r="M36">
        <v>7.0499999999999998E-3</v>
      </c>
      <c r="N36">
        <v>7.0299999999999996E-4</v>
      </c>
      <c r="O36">
        <v>93902.979724999997</v>
      </c>
      <c r="P36">
        <v>0.09</v>
      </c>
      <c r="Q36">
        <v>6.0000000000000002E-6</v>
      </c>
      <c r="R36">
        <v>1.1775000000000001E-2</v>
      </c>
      <c r="S36">
        <v>10189.125404</v>
      </c>
    </row>
    <row r="37" spans="1:19">
      <c r="A37">
        <v>3</v>
      </c>
      <c r="B37">
        <v>1.9599999999999999E-4</v>
      </c>
      <c r="C37">
        <v>4.3000000000000002E-5</v>
      </c>
      <c r="D37">
        <v>52222.823423000002</v>
      </c>
      <c r="E37">
        <v>0</v>
      </c>
      <c r="F37">
        <v>8.7000000000000001E-5</v>
      </c>
      <c r="G37">
        <v>4.3600000000000003E-4</v>
      </c>
      <c r="H37">
        <v>16999.616999999998</v>
      </c>
      <c r="L37">
        <v>8</v>
      </c>
      <c r="M37">
        <v>7.0489999999999997E-3</v>
      </c>
      <c r="N37">
        <v>7.4200000000000004E-4</v>
      </c>
      <c r="O37">
        <v>93894.212314000004</v>
      </c>
      <c r="P37">
        <v>0.1</v>
      </c>
      <c r="Q37">
        <v>5.0000000000000004E-6</v>
      </c>
      <c r="R37">
        <v>1.3015000000000001E-2</v>
      </c>
      <c r="S37">
        <v>10188.174079</v>
      </c>
    </row>
    <row r="38" spans="1:19">
      <c r="A38">
        <v>7</v>
      </c>
      <c r="B38">
        <v>1.93E-4</v>
      </c>
      <c r="C38">
        <v>4.1999999999999998E-5</v>
      </c>
      <c r="D38">
        <v>52729.449459000003</v>
      </c>
      <c r="E38">
        <v>0</v>
      </c>
      <c r="F38">
        <v>8.2000000000000001E-5</v>
      </c>
      <c r="G38">
        <v>4.3199999999999998E-4</v>
      </c>
      <c r="H38">
        <v>17164.534328999998</v>
      </c>
      <c r="L38">
        <v>4</v>
      </c>
      <c r="M38">
        <v>7.051E-3</v>
      </c>
      <c r="N38">
        <v>7.2300000000000001E-4</v>
      </c>
      <c r="O38">
        <v>93889.296816000002</v>
      </c>
      <c r="P38">
        <v>0.1</v>
      </c>
      <c r="Q38">
        <v>2.0999999999999999E-5</v>
      </c>
      <c r="R38">
        <v>1.1526E-2</v>
      </c>
      <c r="S38">
        <v>10187.640713999999</v>
      </c>
    </row>
    <row r="39" spans="1:19">
      <c r="A39">
        <v>6</v>
      </c>
      <c r="B39">
        <v>1.95E-4</v>
      </c>
      <c r="C39">
        <v>4.3000000000000002E-5</v>
      </c>
      <c r="D39">
        <v>52401.125364</v>
      </c>
      <c r="E39">
        <v>0</v>
      </c>
      <c r="F39">
        <v>8.7000000000000001E-5</v>
      </c>
      <c r="G39">
        <v>4.3399999999999998E-4</v>
      </c>
      <c r="H39">
        <v>17057.657996000002</v>
      </c>
      <c r="L39">
        <v>10</v>
      </c>
      <c r="M39">
        <v>7.051E-3</v>
      </c>
      <c r="N39">
        <v>7.3300000000000004E-4</v>
      </c>
      <c r="O39">
        <v>93885.379881000001</v>
      </c>
      <c r="P39">
        <v>0.1</v>
      </c>
      <c r="Q39">
        <v>7.3999999999999996E-5</v>
      </c>
      <c r="R39">
        <v>1.4414E-2</v>
      </c>
      <c r="S39">
        <v>10187.215699</v>
      </c>
    </row>
    <row r="40" spans="1:19">
      <c r="A40">
        <v>2</v>
      </c>
      <c r="B40">
        <v>1.9799999999999999E-4</v>
      </c>
      <c r="C40">
        <v>4.3999999999999999E-5</v>
      </c>
      <c r="D40">
        <v>52208.327578999997</v>
      </c>
      <c r="E40">
        <v>0</v>
      </c>
      <c r="F40">
        <v>9.0000000000000006E-5</v>
      </c>
      <c r="G40">
        <v>4.3600000000000003E-4</v>
      </c>
      <c r="H40">
        <v>16994.898301000001</v>
      </c>
      <c r="L40">
        <v>7</v>
      </c>
      <c r="M40">
        <v>7.0549999999999996E-3</v>
      </c>
      <c r="N40">
        <v>7.0699999999999995E-4</v>
      </c>
      <c r="O40">
        <v>93887.683707999997</v>
      </c>
      <c r="P40">
        <v>0.09</v>
      </c>
      <c r="Q40">
        <v>1.36E-4</v>
      </c>
      <c r="R40">
        <v>1.1166000000000001E-2</v>
      </c>
      <c r="S40">
        <v>10187.465679999999</v>
      </c>
    </row>
    <row r="41" spans="1:19">
      <c r="A41">
        <v>4</v>
      </c>
      <c r="B41">
        <v>1.9699999999999999E-4</v>
      </c>
      <c r="C41">
        <v>4.3999999999999999E-5</v>
      </c>
      <c r="D41">
        <v>52166.673000000003</v>
      </c>
      <c r="E41">
        <v>0</v>
      </c>
      <c r="F41">
        <v>8.3999999999999995E-5</v>
      </c>
      <c r="G41">
        <v>4.37E-4</v>
      </c>
      <c r="H41">
        <v>16981.338866999999</v>
      </c>
      <c r="L41">
        <v>5</v>
      </c>
      <c r="M41">
        <v>7.0499999999999998E-3</v>
      </c>
      <c r="N41">
        <v>7.4299999999999995E-4</v>
      </c>
      <c r="O41">
        <v>93881.536110000001</v>
      </c>
      <c r="P41">
        <v>0.09</v>
      </c>
      <c r="Q41">
        <v>4.6999999999999997E-5</v>
      </c>
      <c r="R41">
        <v>1.2359E-2</v>
      </c>
      <c r="S41">
        <v>10186.798623000001</v>
      </c>
    </row>
    <row r="42" spans="1:19">
      <c r="A42">
        <v>10</v>
      </c>
      <c r="B42">
        <v>1.92E-4</v>
      </c>
      <c r="C42">
        <v>4.1999999999999998E-5</v>
      </c>
      <c r="D42">
        <v>52599.306857000003</v>
      </c>
      <c r="E42">
        <v>0</v>
      </c>
      <c r="F42">
        <v>8.2000000000000001E-5</v>
      </c>
      <c r="G42">
        <v>4.3100000000000001E-4</v>
      </c>
      <c r="H42">
        <v>17122.170201000001</v>
      </c>
      <c r="L42">
        <v>3</v>
      </c>
      <c r="M42">
        <v>7.0660000000000002E-3</v>
      </c>
      <c r="N42">
        <v>6.8900000000000005E-4</v>
      </c>
      <c r="O42">
        <v>93894.343137000003</v>
      </c>
      <c r="P42">
        <v>0.1</v>
      </c>
      <c r="Q42">
        <v>2.0900000000000001E-4</v>
      </c>
      <c r="R42">
        <v>1.4265999999999999E-2</v>
      </c>
      <c r="S42">
        <v>10188.188274</v>
      </c>
    </row>
    <row r="43" spans="1:19">
      <c r="A43">
        <v>8</v>
      </c>
      <c r="B43">
        <v>1.9699999999999999E-4</v>
      </c>
      <c r="C43">
        <v>4.3999999999999999E-5</v>
      </c>
      <c r="D43">
        <v>52293.386696000001</v>
      </c>
      <c r="E43">
        <v>0</v>
      </c>
      <c r="F43">
        <v>8.7999999999999998E-5</v>
      </c>
      <c r="G43">
        <v>4.3300000000000001E-4</v>
      </c>
      <c r="H43">
        <v>17022.586814999999</v>
      </c>
      <c r="L43">
        <v>6</v>
      </c>
      <c r="M43">
        <v>7.0520000000000001E-3</v>
      </c>
      <c r="N43">
        <v>7.3899999999999997E-4</v>
      </c>
      <c r="O43">
        <v>93884.304447000002</v>
      </c>
      <c r="P43">
        <v>0.09</v>
      </c>
      <c r="Q43">
        <v>2.05E-4</v>
      </c>
      <c r="R43">
        <v>1.2182E-2</v>
      </c>
      <c r="S43">
        <v>10187.099007000001</v>
      </c>
    </row>
    <row r="44" spans="1:19">
      <c r="A44" t="s">
        <v>28</v>
      </c>
      <c r="B44">
        <f t="shared" ref="B44:H44" si="4">AVERAGE(B34:B43)</f>
        <v>1.9569999999999999E-4</v>
      </c>
      <c r="C44">
        <f t="shared" si="4"/>
        <v>4.3199999999999993E-5</v>
      </c>
      <c r="D44">
        <f t="shared" si="4"/>
        <v>52344.406540999997</v>
      </c>
      <c r="E44">
        <f t="shared" si="4"/>
        <v>0</v>
      </c>
      <c r="F44">
        <f t="shared" si="4"/>
        <v>8.6600000000000004E-5</v>
      </c>
      <c r="G44">
        <f t="shared" si="4"/>
        <v>4.5150000000000008E-4</v>
      </c>
      <c r="H44">
        <f t="shared" si="4"/>
        <v>17039.1948376</v>
      </c>
      <c r="L44" t="s">
        <v>28</v>
      </c>
      <c r="M44">
        <f t="shared" ref="M44:S44" si="5">AVERAGE(M34:M43)</f>
        <v>7.0336999999999995E-3</v>
      </c>
      <c r="N44">
        <f t="shared" si="5"/>
        <v>7.2110000000000002E-4</v>
      </c>
      <c r="O44">
        <f t="shared" si="5"/>
        <v>93965.6773579</v>
      </c>
      <c r="P44">
        <f t="shared" si="5"/>
        <v>9.3999999999999986E-2</v>
      </c>
      <c r="Q44">
        <f t="shared" si="5"/>
        <v>5.9800000000000003E-5</v>
      </c>
      <c r="R44">
        <f t="shared" si="5"/>
        <v>1.2805999999999998E-2</v>
      </c>
      <c r="S44">
        <f t="shared" si="5"/>
        <v>10195.9285327</v>
      </c>
    </row>
    <row r="47" spans="1:19">
      <c r="A47" t="s">
        <v>33</v>
      </c>
      <c r="L47" t="s">
        <v>34</v>
      </c>
    </row>
    <row r="48" spans="1:19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L48" t="s">
        <v>17</v>
      </c>
      <c r="M48" t="s">
        <v>18</v>
      </c>
      <c r="N48" t="s">
        <v>19</v>
      </c>
      <c r="O48" t="s">
        <v>20</v>
      </c>
      <c r="P48" t="s">
        <v>21</v>
      </c>
      <c r="Q48" t="s">
        <v>22</v>
      </c>
      <c r="R48" t="s">
        <v>23</v>
      </c>
      <c r="S48" t="s">
        <v>24</v>
      </c>
    </row>
    <row r="49" spans="1:19">
      <c r="A49">
        <v>1</v>
      </c>
      <c r="B49">
        <v>1.5799999999999999E-4</v>
      </c>
      <c r="C49">
        <v>3.4999999999999997E-5</v>
      </c>
      <c r="D49">
        <v>70097.315426000001</v>
      </c>
      <c r="E49">
        <v>0.06</v>
      </c>
      <c r="F49">
        <v>7.2999999999999999E-5</v>
      </c>
      <c r="G49">
        <v>6.45E-3</v>
      </c>
      <c r="H49">
        <v>17113.602398999999</v>
      </c>
      <c r="L49">
        <v>3</v>
      </c>
      <c r="M49">
        <v>7.9319999999999998E-3</v>
      </c>
      <c r="N49">
        <v>8.7100000000000003E-4</v>
      </c>
      <c r="O49">
        <v>95022.741561999996</v>
      </c>
      <c r="P49">
        <v>0.09</v>
      </c>
      <c r="Q49">
        <v>1.2999999999999999E-5</v>
      </c>
      <c r="R49">
        <v>1.6317000000000002E-2</v>
      </c>
      <c r="S49">
        <v>9279.5646059999999</v>
      </c>
    </row>
    <row r="50" spans="1:19">
      <c r="A50">
        <v>4</v>
      </c>
      <c r="B50">
        <v>1.5300000000000001E-4</v>
      </c>
      <c r="C50">
        <v>3.4E-5</v>
      </c>
      <c r="D50">
        <v>70242.030492000005</v>
      </c>
      <c r="E50">
        <v>0.06</v>
      </c>
      <c r="F50">
        <v>7.2999999999999999E-5</v>
      </c>
      <c r="G50">
        <v>6.4089999999999998E-3</v>
      </c>
      <c r="H50">
        <v>17148.933225000001</v>
      </c>
      <c r="L50">
        <v>1</v>
      </c>
      <c r="M50">
        <v>7.9340000000000001E-3</v>
      </c>
      <c r="N50">
        <v>8.6499999999999999E-4</v>
      </c>
      <c r="O50">
        <v>95005.928264000002</v>
      </c>
      <c r="P50">
        <v>0.09</v>
      </c>
      <c r="Q50">
        <v>7.9999999999999996E-6</v>
      </c>
      <c r="R50">
        <v>1.6604000000000001E-2</v>
      </c>
      <c r="S50">
        <v>9277.9226820000003</v>
      </c>
    </row>
    <row r="51" spans="1:19">
      <c r="A51">
        <v>10</v>
      </c>
      <c r="B51">
        <v>1.6200000000000001E-4</v>
      </c>
      <c r="C51">
        <v>3.4999999999999997E-5</v>
      </c>
      <c r="D51">
        <v>69633.618747999994</v>
      </c>
      <c r="E51">
        <v>0.06</v>
      </c>
      <c r="F51">
        <v>7.2999999999999999E-5</v>
      </c>
      <c r="G51">
        <v>6.4079999999999996E-3</v>
      </c>
      <c r="H51">
        <v>17000.395202</v>
      </c>
      <c r="L51">
        <v>4</v>
      </c>
      <c r="M51">
        <v>8.0459999999999993E-3</v>
      </c>
      <c r="N51">
        <v>8.7299999999999997E-4</v>
      </c>
      <c r="O51">
        <v>94485.567293</v>
      </c>
      <c r="P51">
        <v>0.09</v>
      </c>
      <c r="Q51">
        <v>1.46E-4</v>
      </c>
      <c r="R51">
        <v>1.6041E-2</v>
      </c>
      <c r="S51">
        <v>9227.1061809999992</v>
      </c>
    </row>
    <row r="52" spans="1:19">
      <c r="A52">
        <v>6</v>
      </c>
      <c r="B52">
        <v>1.5699999999999999E-4</v>
      </c>
      <c r="C52">
        <v>3.4E-5</v>
      </c>
      <c r="D52">
        <v>70324.935996999993</v>
      </c>
      <c r="E52">
        <v>0.06</v>
      </c>
      <c r="F52">
        <v>7.2000000000000002E-5</v>
      </c>
      <c r="G52">
        <v>6.4510000000000001E-3</v>
      </c>
      <c r="H52">
        <v>17169.173826999999</v>
      </c>
      <c r="L52">
        <v>10</v>
      </c>
      <c r="M52">
        <v>8.0540000000000004E-3</v>
      </c>
      <c r="N52">
        <v>8.7600000000000004E-4</v>
      </c>
      <c r="O52">
        <v>94463.148856999993</v>
      </c>
      <c r="P52">
        <v>0.1</v>
      </c>
      <c r="Q52">
        <v>1.8000000000000001E-4</v>
      </c>
      <c r="R52">
        <v>1.4187E-2</v>
      </c>
      <c r="S52">
        <v>9224.9168809999992</v>
      </c>
    </row>
    <row r="53" spans="1:19">
      <c r="A53">
        <v>3</v>
      </c>
      <c r="B53">
        <v>1.63E-4</v>
      </c>
      <c r="C53">
        <v>3.4999999999999997E-5</v>
      </c>
      <c r="D53">
        <v>70363.044527999999</v>
      </c>
      <c r="E53">
        <v>0.06</v>
      </c>
      <c r="F53">
        <v>7.4999999999999993E-5</v>
      </c>
      <c r="G53">
        <v>6.4489999999999999E-3</v>
      </c>
      <c r="H53">
        <v>17178.477668</v>
      </c>
      <c r="L53">
        <v>9</v>
      </c>
      <c r="M53">
        <v>8.0540000000000004E-3</v>
      </c>
      <c r="N53">
        <v>8.7500000000000002E-4</v>
      </c>
      <c r="O53">
        <v>94464.680303000001</v>
      </c>
      <c r="P53">
        <v>0.1</v>
      </c>
      <c r="Q53">
        <v>1.8599999999999999E-4</v>
      </c>
      <c r="R53">
        <v>1.2068000000000001E-2</v>
      </c>
      <c r="S53">
        <v>9225.0664359999992</v>
      </c>
    </row>
    <row r="54" spans="1:19">
      <c r="A54">
        <v>8</v>
      </c>
      <c r="B54">
        <v>1.56E-4</v>
      </c>
      <c r="C54">
        <v>3.4E-5</v>
      </c>
      <c r="D54">
        <v>70032.543369000006</v>
      </c>
      <c r="E54">
        <v>0.06</v>
      </c>
      <c r="F54">
        <v>6.8999999999999997E-5</v>
      </c>
      <c r="G54">
        <v>6.4079999999999996E-3</v>
      </c>
      <c r="H54">
        <v>17097.788908999999</v>
      </c>
      <c r="L54">
        <v>7</v>
      </c>
      <c r="M54">
        <v>8.0610000000000005E-3</v>
      </c>
      <c r="N54">
        <v>8.7600000000000004E-4</v>
      </c>
      <c r="O54">
        <v>94455.692595999994</v>
      </c>
      <c r="P54">
        <v>0.1</v>
      </c>
      <c r="Q54">
        <v>2.7700000000000001E-4</v>
      </c>
      <c r="R54">
        <v>1.2251E-2</v>
      </c>
      <c r="S54">
        <v>9224.1887299999999</v>
      </c>
    </row>
    <row r="55" spans="1:19">
      <c r="A55">
        <v>5</v>
      </c>
      <c r="B55">
        <v>1.63E-4</v>
      </c>
      <c r="C55">
        <v>3.4999999999999997E-5</v>
      </c>
      <c r="D55">
        <v>69531.912859999997</v>
      </c>
      <c r="E55">
        <v>0.06</v>
      </c>
      <c r="F55">
        <v>7.3999999999999996E-5</v>
      </c>
      <c r="G55">
        <v>6.4510000000000001E-3</v>
      </c>
      <c r="H55">
        <v>16975.564663000001</v>
      </c>
      <c r="L55">
        <v>2</v>
      </c>
      <c r="M55">
        <v>8.0540000000000004E-3</v>
      </c>
      <c r="N55">
        <v>8.6899999999999998E-4</v>
      </c>
      <c r="O55">
        <v>94475.862727999993</v>
      </c>
      <c r="P55">
        <v>0.1</v>
      </c>
      <c r="Q55">
        <v>3.3E-4</v>
      </c>
      <c r="R55">
        <v>1.5559E-2</v>
      </c>
      <c r="S55">
        <v>9226.1584700000003</v>
      </c>
    </row>
    <row r="56" spans="1:19">
      <c r="A56">
        <v>9</v>
      </c>
      <c r="B56">
        <v>1.5899999999999999E-4</v>
      </c>
      <c r="C56">
        <v>3.4E-5</v>
      </c>
      <c r="D56">
        <v>70009.409623</v>
      </c>
      <c r="E56">
        <v>0.06</v>
      </c>
      <c r="F56">
        <v>6.9999999999999994E-5</v>
      </c>
      <c r="G56">
        <v>6.4079999999999996E-3</v>
      </c>
      <c r="H56">
        <v>17092.141020999999</v>
      </c>
      <c r="L56">
        <v>6</v>
      </c>
      <c r="M56">
        <v>8.0560000000000007E-3</v>
      </c>
      <c r="N56">
        <v>8.7200000000000005E-4</v>
      </c>
      <c r="O56">
        <v>94470.477675999995</v>
      </c>
      <c r="P56">
        <v>0.1</v>
      </c>
      <c r="Q56">
        <v>4.2400000000000001E-4</v>
      </c>
      <c r="R56">
        <v>1.456E-2</v>
      </c>
      <c r="S56">
        <v>9225.6325859999997</v>
      </c>
    </row>
    <row r="57" spans="1:19">
      <c r="A57">
        <v>2</v>
      </c>
      <c r="B57">
        <v>1.64E-4</v>
      </c>
      <c r="C57">
        <v>3.4999999999999997E-5</v>
      </c>
      <c r="D57">
        <v>69319.753091999999</v>
      </c>
      <c r="E57">
        <v>0.06</v>
      </c>
      <c r="F57">
        <v>6.7999999999999999E-5</v>
      </c>
      <c r="G57">
        <v>6.4539999999999997E-3</v>
      </c>
      <c r="H57">
        <v>16923.767844999998</v>
      </c>
      <c r="L57">
        <v>5</v>
      </c>
      <c r="M57">
        <v>8.0499999999999999E-3</v>
      </c>
      <c r="N57">
        <v>8.7399999999999999E-4</v>
      </c>
      <c r="O57">
        <v>94484.233118000004</v>
      </c>
      <c r="P57">
        <v>0.1</v>
      </c>
      <c r="Q57">
        <v>4.8899999999999996E-4</v>
      </c>
      <c r="R57">
        <v>1.5351999999999999E-2</v>
      </c>
      <c r="S57">
        <v>9226.9758899999997</v>
      </c>
    </row>
    <row r="58" spans="1:19">
      <c r="A58">
        <v>7</v>
      </c>
      <c r="B58">
        <v>1.64E-4</v>
      </c>
      <c r="C58">
        <v>3.4999999999999997E-5</v>
      </c>
      <c r="D58">
        <v>69406.220069000003</v>
      </c>
      <c r="E58">
        <v>0.06</v>
      </c>
      <c r="F58">
        <v>7.2999999999999999E-5</v>
      </c>
      <c r="G58">
        <v>6.4510000000000001E-3</v>
      </c>
      <c r="H58">
        <v>16944.877946000001</v>
      </c>
      <c r="L58">
        <v>8</v>
      </c>
      <c r="M58">
        <v>8.0520000000000001E-3</v>
      </c>
      <c r="N58">
        <v>8.7299999999999997E-4</v>
      </c>
      <c r="O58">
        <v>94462.510383999994</v>
      </c>
      <c r="P58">
        <v>0.1</v>
      </c>
      <c r="Q58">
        <v>3.3799999999999998E-4</v>
      </c>
      <c r="R58">
        <v>1.2763999999999999E-2</v>
      </c>
      <c r="S58">
        <v>9224.8545300000005</v>
      </c>
    </row>
    <row r="59" spans="1:19">
      <c r="A59" t="s">
        <v>28</v>
      </c>
      <c r="B59">
        <f t="shared" ref="B59:H59" si="6">AVERAGE(B49:B58)</f>
        <v>1.5990000000000004E-4</v>
      </c>
      <c r="C59">
        <f t="shared" si="6"/>
        <v>3.4599999999999994E-5</v>
      </c>
      <c r="D59">
        <f t="shared" si="6"/>
        <v>69896.078420400008</v>
      </c>
      <c r="E59">
        <f t="shared" si="6"/>
        <v>6.0000000000000012E-2</v>
      </c>
      <c r="F59">
        <f t="shared" si="6"/>
        <v>7.2000000000000002E-5</v>
      </c>
      <c r="G59">
        <f t="shared" si="6"/>
        <v>6.4338999999999993E-3</v>
      </c>
      <c r="H59">
        <f t="shared" si="6"/>
        <v>17064.472270499995</v>
      </c>
      <c r="L59" t="s">
        <v>28</v>
      </c>
      <c r="M59">
        <f t="shared" ref="M59:S59" si="7">AVERAGE(M49:M58)</f>
        <v>8.0292999999999996E-3</v>
      </c>
      <c r="N59">
        <f t="shared" si="7"/>
        <v>8.7240000000000006E-4</v>
      </c>
      <c r="O59">
        <f t="shared" si="7"/>
        <v>94579.08427810001</v>
      </c>
      <c r="P59">
        <f t="shared" si="7"/>
        <v>9.6999999999999989E-2</v>
      </c>
      <c r="Q59">
        <f t="shared" si="7"/>
        <v>2.3909999999999998E-4</v>
      </c>
      <c r="R59">
        <f t="shared" si="7"/>
        <v>1.45703E-2</v>
      </c>
      <c r="S59">
        <f t="shared" si="7"/>
        <v>9236.2386991999992</v>
      </c>
    </row>
    <row r="62" spans="1:19">
      <c r="A62" t="s">
        <v>35</v>
      </c>
      <c r="L62" t="s">
        <v>36</v>
      </c>
    </row>
    <row r="63" spans="1:19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23</v>
      </c>
      <c r="H63" t="s">
        <v>24</v>
      </c>
      <c r="L63" t="s">
        <v>17</v>
      </c>
      <c r="M63" t="s">
        <v>18</v>
      </c>
      <c r="N63" t="s">
        <v>19</v>
      </c>
      <c r="O63" t="s">
        <v>20</v>
      </c>
      <c r="P63" t="s">
        <v>21</v>
      </c>
      <c r="Q63" t="s">
        <v>22</v>
      </c>
      <c r="R63" t="s">
        <v>23</v>
      </c>
      <c r="S63" t="s">
        <v>24</v>
      </c>
    </row>
    <row r="64" spans="1:19">
      <c r="A64">
        <v>6</v>
      </c>
      <c r="B64">
        <v>1.27E-4</v>
      </c>
      <c r="C64">
        <v>2.5000000000000001E-5</v>
      </c>
      <c r="D64">
        <v>87564.888583000007</v>
      </c>
      <c r="E64">
        <v>0.05</v>
      </c>
      <c r="F64">
        <v>5.1E-5</v>
      </c>
      <c r="G64">
        <v>5.9690000000000003E-3</v>
      </c>
      <c r="H64">
        <v>17102.517301</v>
      </c>
      <c r="L64">
        <v>1</v>
      </c>
      <c r="M64">
        <v>8.5719999999999998E-3</v>
      </c>
      <c r="N64">
        <v>9.8799999999999995E-4</v>
      </c>
      <c r="O64">
        <v>95575.640413999994</v>
      </c>
      <c r="P64">
        <v>0.63</v>
      </c>
      <c r="Q64">
        <v>1.9000000000000001E-5</v>
      </c>
      <c r="R64">
        <v>1.2382000000000001E-2</v>
      </c>
      <c r="S64">
        <v>8485.0533039999991</v>
      </c>
    </row>
    <row r="65" spans="1:19">
      <c r="A65">
        <v>7</v>
      </c>
      <c r="B65">
        <v>1.35E-4</v>
      </c>
      <c r="C65">
        <v>2.5999999999999998E-5</v>
      </c>
      <c r="D65">
        <v>86525.585594000004</v>
      </c>
      <c r="E65">
        <v>0.05</v>
      </c>
      <c r="F65">
        <v>5.1E-5</v>
      </c>
      <c r="G65">
        <v>5.953E-3</v>
      </c>
      <c r="H65">
        <v>16899.528436000001</v>
      </c>
      <c r="L65">
        <v>4</v>
      </c>
      <c r="M65">
        <v>8.5699999999999995E-3</v>
      </c>
      <c r="N65">
        <v>9.8999999999999999E-4</v>
      </c>
      <c r="O65">
        <v>95562.725974999994</v>
      </c>
      <c r="P65">
        <v>0.6</v>
      </c>
      <c r="Q65">
        <v>1.8E-5</v>
      </c>
      <c r="R65">
        <v>1.3136999999999999E-2</v>
      </c>
      <c r="S65">
        <v>8483.9067799999993</v>
      </c>
    </row>
    <row r="66" spans="1:19">
      <c r="A66">
        <v>5</v>
      </c>
      <c r="B66">
        <v>1.36E-4</v>
      </c>
      <c r="C66">
        <v>2.5000000000000001E-5</v>
      </c>
      <c r="D66">
        <v>86753.080153999996</v>
      </c>
      <c r="E66">
        <v>0.05</v>
      </c>
      <c r="F66">
        <v>4.5000000000000003E-5</v>
      </c>
      <c r="G66">
        <v>5.9690000000000003E-3</v>
      </c>
      <c r="H66">
        <v>16943.960967999999</v>
      </c>
      <c r="L66">
        <v>8</v>
      </c>
      <c r="M66">
        <v>8.6949999999999996E-3</v>
      </c>
      <c r="N66">
        <v>1.008E-3</v>
      </c>
      <c r="O66">
        <v>94961.652105999994</v>
      </c>
      <c r="P66">
        <v>0.61</v>
      </c>
      <c r="Q66">
        <v>1.63E-4</v>
      </c>
      <c r="R66">
        <v>1.3206000000000001E-2</v>
      </c>
      <c r="S66">
        <v>8430.5443990000003</v>
      </c>
    </row>
    <row r="67" spans="1:19">
      <c r="A67">
        <v>8</v>
      </c>
      <c r="B67">
        <v>1.26E-4</v>
      </c>
      <c r="C67">
        <v>2.5000000000000001E-5</v>
      </c>
      <c r="D67">
        <v>87605.677267999999</v>
      </c>
      <c r="E67">
        <v>0.06</v>
      </c>
      <c r="F67">
        <v>5.0000000000000002E-5</v>
      </c>
      <c r="G67">
        <v>5.9659999999999999E-3</v>
      </c>
      <c r="H67">
        <v>17110.483841000001</v>
      </c>
      <c r="L67">
        <v>7</v>
      </c>
      <c r="M67">
        <v>8.6969999999999999E-3</v>
      </c>
      <c r="N67">
        <v>9.990000000000001E-4</v>
      </c>
      <c r="O67">
        <v>94963.974241000004</v>
      </c>
      <c r="P67">
        <v>0.63</v>
      </c>
      <c r="Q67">
        <v>1.9100000000000001E-4</v>
      </c>
      <c r="R67">
        <v>1.2931E-2</v>
      </c>
      <c r="S67">
        <v>8430.7505540000002</v>
      </c>
    </row>
    <row r="68" spans="1:19">
      <c r="A68">
        <v>10</v>
      </c>
      <c r="B68">
        <v>1.27E-4</v>
      </c>
      <c r="C68">
        <v>2.5000000000000001E-5</v>
      </c>
      <c r="D68">
        <v>87799.705897000007</v>
      </c>
      <c r="E68">
        <v>0.06</v>
      </c>
      <c r="F68">
        <v>5.0000000000000002E-5</v>
      </c>
      <c r="G68">
        <v>5.9680000000000002E-3</v>
      </c>
      <c r="H68">
        <v>17148.380057999999</v>
      </c>
      <c r="L68">
        <v>5</v>
      </c>
      <c r="M68">
        <v>8.6929999999999993E-3</v>
      </c>
      <c r="N68">
        <v>9.990000000000001E-4</v>
      </c>
      <c r="O68">
        <v>94961.582811</v>
      </c>
      <c r="P68">
        <v>0.67</v>
      </c>
      <c r="Q68">
        <v>2.1100000000000001E-4</v>
      </c>
      <c r="R68">
        <v>1.5375E-2</v>
      </c>
      <c r="S68">
        <v>8430.5382470000004</v>
      </c>
    </row>
    <row r="69" spans="1:19">
      <c r="A69">
        <v>2</v>
      </c>
      <c r="B69">
        <v>1.2899999999999999E-4</v>
      </c>
      <c r="C69">
        <v>2.5000000000000001E-5</v>
      </c>
      <c r="D69">
        <v>87695.230490999995</v>
      </c>
      <c r="E69">
        <v>0.06</v>
      </c>
      <c r="F69">
        <v>5.0000000000000002E-5</v>
      </c>
      <c r="G69">
        <v>5.9620000000000003E-3</v>
      </c>
      <c r="H69">
        <v>17127.974705000001</v>
      </c>
      <c r="L69">
        <v>9</v>
      </c>
      <c r="M69">
        <v>8.6949999999999996E-3</v>
      </c>
      <c r="N69">
        <v>1.003E-3</v>
      </c>
      <c r="O69">
        <v>94962.358770999999</v>
      </c>
      <c r="P69">
        <v>0.65</v>
      </c>
      <c r="Q69">
        <v>2.7900000000000001E-4</v>
      </c>
      <c r="R69">
        <v>1.5572000000000001E-2</v>
      </c>
      <c r="S69">
        <v>8430.6071350000002</v>
      </c>
    </row>
    <row r="70" spans="1:19">
      <c r="A70">
        <v>4</v>
      </c>
      <c r="B70">
        <v>1.35E-4</v>
      </c>
      <c r="C70">
        <v>2.5000000000000001E-5</v>
      </c>
      <c r="D70">
        <v>87010.044328999997</v>
      </c>
      <c r="E70">
        <v>0.06</v>
      </c>
      <c r="F70">
        <v>4.6999999999999997E-5</v>
      </c>
      <c r="G70">
        <v>5.9550000000000002E-3</v>
      </c>
      <c r="H70">
        <v>16994.149282999999</v>
      </c>
      <c r="L70">
        <v>6</v>
      </c>
      <c r="M70">
        <v>8.6910000000000008E-3</v>
      </c>
      <c r="N70">
        <v>1.0020000000000001E-3</v>
      </c>
      <c r="O70">
        <v>94963.931974000006</v>
      </c>
      <c r="P70">
        <v>0.64</v>
      </c>
      <c r="Q70">
        <v>4.3300000000000001E-4</v>
      </c>
      <c r="R70">
        <v>1.4142999999999999E-2</v>
      </c>
      <c r="S70">
        <v>8430.7468019999997</v>
      </c>
    </row>
    <row r="71" spans="1:19">
      <c r="A71">
        <v>1</v>
      </c>
      <c r="B71">
        <v>1.36E-4</v>
      </c>
      <c r="C71">
        <v>2.5000000000000001E-5</v>
      </c>
      <c r="D71">
        <v>87315.051936999997</v>
      </c>
      <c r="E71">
        <v>0.06</v>
      </c>
      <c r="F71">
        <v>4.8000000000000001E-5</v>
      </c>
      <c r="G71">
        <v>5.9579999999999998E-3</v>
      </c>
      <c r="H71">
        <v>17053.721081</v>
      </c>
      <c r="L71">
        <v>3</v>
      </c>
      <c r="M71">
        <v>8.6940000000000003E-3</v>
      </c>
      <c r="N71">
        <v>1.0059999999999999E-3</v>
      </c>
      <c r="O71">
        <v>94955.858829000004</v>
      </c>
      <c r="P71">
        <v>0.65</v>
      </c>
      <c r="Q71">
        <v>4.0000000000000002E-4</v>
      </c>
      <c r="R71">
        <v>1.2316000000000001E-2</v>
      </c>
      <c r="S71">
        <v>8430.0300810000008</v>
      </c>
    </row>
    <row r="72" spans="1:19">
      <c r="A72">
        <v>9</v>
      </c>
      <c r="B72">
        <v>1.3300000000000001E-4</v>
      </c>
      <c r="C72">
        <v>2.5000000000000001E-5</v>
      </c>
      <c r="D72">
        <v>87220.694992000004</v>
      </c>
      <c r="E72">
        <v>0.06</v>
      </c>
      <c r="F72">
        <v>4.3000000000000002E-5</v>
      </c>
      <c r="G72">
        <v>5.9610000000000002E-3</v>
      </c>
      <c r="H72">
        <v>17035.291990999998</v>
      </c>
      <c r="L72">
        <v>10</v>
      </c>
      <c r="M72">
        <v>8.6990000000000001E-3</v>
      </c>
      <c r="N72">
        <v>1.0059999999999999E-3</v>
      </c>
      <c r="O72">
        <v>94949.719448999997</v>
      </c>
      <c r="P72">
        <v>0.63</v>
      </c>
      <c r="Q72">
        <v>4.3399999999999998E-4</v>
      </c>
      <c r="R72">
        <v>1.4272999999999999E-2</v>
      </c>
      <c r="S72">
        <v>8429.485036</v>
      </c>
    </row>
    <row r="73" spans="1:19">
      <c r="A73">
        <v>3</v>
      </c>
      <c r="B73">
        <v>1.3100000000000001E-4</v>
      </c>
      <c r="C73">
        <v>2.5000000000000001E-5</v>
      </c>
      <c r="D73">
        <v>87225.684179999997</v>
      </c>
      <c r="E73">
        <v>0.06</v>
      </c>
      <c r="F73">
        <v>4.6E-5</v>
      </c>
      <c r="G73">
        <v>5.9680000000000002E-3</v>
      </c>
      <c r="H73">
        <v>17036.266441</v>
      </c>
      <c r="L73">
        <v>2</v>
      </c>
      <c r="M73">
        <v>8.6940000000000003E-3</v>
      </c>
      <c r="N73">
        <v>1.003E-3</v>
      </c>
      <c r="O73">
        <v>94960.128339999996</v>
      </c>
      <c r="P73">
        <v>0.64</v>
      </c>
      <c r="Q73">
        <v>3.86E-4</v>
      </c>
      <c r="R73">
        <v>1.1750999999999999E-2</v>
      </c>
      <c r="S73">
        <v>8430.4091210000006</v>
      </c>
    </row>
    <row r="74" spans="1:19">
      <c r="A74" t="s">
        <v>28</v>
      </c>
      <c r="B74">
        <f t="shared" ref="B74:H74" si="8">AVERAGE(B64:B73)</f>
        <v>1.315E-4</v>
      </c>
      <c r="C74">
        <f t="shared" si="8"/>
        <v>2.5100000000000004E-5</v>
      </c>
      <c r="D74">
        <f t="shared" si="8"/>
        <v>87271.564342499987</v>
      </c>
      <c r="E74">
        <f t="shared" si="8"/>
        <v>5.7000000000000009E-2</v>
      </c>
      <c r="F74">
        <f t="shared" si="8"/>
        <v>4.8099999999999997E-5</v>
      </c>
      <c r="G74">
        <f t="shared" si="8"/>
        <v>5.9629000000000001E-3</v>
      </c>
      <c r="H74">
        <f t="shared" si="8"/>
        <v>17045.227410500003</v>
      </c>
      <c r="L74" t="s">
        <v>28</v>
      </c>
      <c r="M74">
        <f t="shared" ref="M74:S74" si="9">AVERAGE(M64:M73)</f>
        <v>8.6700000000000006E-3</v>
      </c>
      <c r="N74">
        <f t="shared" si="9"/>
        <v>1.0003999999999998E-3</v>
      </c>
      <c r="O74">
        <f t="shared" si="9"/>
        <v>95081.757291000016</v>
      </c>
      <c r="P74">
        <f t="shared" si="9"/>
        <v>0.63500000000000001</v>
      </c>
      <c r="Q74">
        <f t="shared" si="9"/>
        <v>2.5340000000000003E-4</v>
      </c>
      <c r="R74">
        <f t="shared" si="9"/>
        <v>1.3508600000000001E-2</v>
      </c>
      <c r="S74">
        <f t="shared" si="9"/>
        <v>8441.2071458999999</v>
      </c>
    </row>
    <row r="77" spans="1:19">
      <c r="A77" t="s">
        <v>37</v>
      </c>
      <c r="L77" t="s">
        <v>38</v>
      </c>
    </row>
    <row r="78" spans="1:19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L78" t="s">
        <v>17</v>
      </c>
      <c r="M78" t="s">
        <v>18</v>
      </c>
      <c r="N78" t="s">
        <v>19</v>
      </c>
      <c r="O78" t="s">
        <v>20</v>
      </c>
      <c r="P78" t="s">
        <v>21</v>
      </c>
      <c r="Q78" t="s">
        <v>22</v>
      </c>
      <c r="R78" t="s">
        <v>23</v>
      </c>
      <c r="S78" t="s">
        <v>24</v>
      </c>
    </row>
    <row r="79" spans="1:19">
      <c r="A79">
        <v>1</v>
      </c>
      <c r="B79">
        <v>4.7580000000000001E-3</v>
      </c>
      <c r="C79">
        <v>2.0000000000000001E-4</v>
      </c>
      <c r="D79">
        <v>91009.562416000001</v>
      </c>
      <c r="E79">
        <v>0.11</v>
      </c>
      <c r="F79">
        <v>2.4000000000000001E-5</v>
      </c>
      <c r="G79">
        <v>1.2019E-2</v>
      </c>
      <c r="H79">
        <v>14812.754300000001</v>
      </c>
      <c r="L79">
        <v>5</v>
      </c>
      <c r="M79">
        <v>6.8079999999999998E-3</v>
      </c>
      <c r="N79">
        <v>8.6300000000000005E-4</v>
      </c>
      <c r="O79">
        <v>92553.856385999999</v>
      </c>
      <c r="P79">
        <v>7.0000000000000007E-2</v>
      </c>
      <c r="Q79">
        <v>-3.6999999999999998E-5</v>
      </c>
      <c r="R79">
        <v>1.3263E-2</v>
      </c>
      <c r="S79">
        <v>7532.0521150000004</v>
      </c>
    </row>
    <row r="80" spans="1:19">
      <c r="A80">
        <v>5</v>
      </c>
      <c r="B80">
        <v>4.764E-3</v>
      </c>
      <c r="C80">
        <v>2.0100000000000001E-4</v>
      </c>
      <c r="D80">
        <v>91020.889188000001</v>
      </c>
      <c r="E80">
        <v>0.11</v>
      </c>
      <c r="F80">
        <v>2.3E-5</v>
      </c>
      <c r="G80">
        <v>1.0475E-2</v>
      </c>
      <c r="H80">
        <v>14814.59785</v>
      </c>
      <c r="L80">
        <v>2</v>
      </c>
      <c r="M80">
        <v>6.8120000000000003E-3</v>
      </c>
      <c r="N80">
        <v>8.8500000000000004E-4</v>
      </c>
      <c r="O80">
        <v>92519.501294999995</v>
      </c>
      <c r="P80">
        <v>7.0000000000000007E-2</v>
      </c>
      <c r="Q80">
        <v>-4.5000000000000003E-5</v>
      </c>
      <c r="R80">
        <v>1.1221E-2</v>
      </c>
      <c r="S80">
        <v>7529.2562900000003</v>
      </c>
    </row>
    <row r="81" spans="1:19">
      <c r="A81">
        <v>2</v>
      </c>
      <c r="B81">
        <v>4.7629999999999999E-3</v>
      </c>
      <c r="C81">
        <v>1.9599999999999999E-4</v>
      </c>
      <c r="D81">
        <v>91048.049983999997</v>
      </c>
      <c r="E81">
        <v>0.11</v>
      </c>
      <c r="F81">
        <v>2.0999999999999999E-5</v>
      </c>
      <c r="G81">
        <v>1.2208E-2</v>
      </c>
      <c r="H81">
        <v>14819.018552</v>
      </c>
      <c r="L81">
        <v>6</v>
      </c>
      <c r="M81">
        <v>6.9459999999999999E-3</v>
      </c>
      <c r="N81">
        <v>9.0899999999999998E-4</v>
      </c>
      <c r="O81">
        <v>91614.094360000003</v>
      </c>
      <c r="P81">
        <v>7.0000000000000007E-2</v>
      </c>
      <c r="Q81">
        <v>-1.1E-5</v>
      </c>
      <c r="R81">
        <v>1.2161999999999999E-2</v>
      </c>
      <c r="S81">
        <v>7455.5740850000002</v>
      </c>
    </row>
    <row r="82" spans="1:19">
      <c r="A82">
        <v>6</v>
      </c>
      <c r="B82">
        <v>4.7759999999999999E-3</v>
      </c>
      <c r="C82">
        <v>1.9900000000000001E-4</v>
      </c>
      <c r="D82">
        <v>91058.249009000006</v>
      </c>
      <c r="E82">
        <v>0.11</v>
      </c>
      <c r="F82">
        <v>6.9999999999999999E-6</v>
      </c>
      <c r="G82">
        <v>1.2362E-2</v>
      </c>
      <c r="H82">
        <v>14820.678550000001</v>
      </c>
      <c r="L82">
        <v>3</v>
      </c>
      <c r="M82">
        <v>6.9459999999999999E-3</v>
      </c>
      <c r="N82">
        <v>8.6799999999999996E-4</v>
      </c>
      <c r="O82">
        <v>91607.298985999994</v>
      </c>
      <c r="P82">
        <v>7.0000000000000007E-2</v>
      </c>
      <c r="Q82">
        <v>3.4E-5</v>
      </c>
      <c r="R82">
        <v>1.0684000000000001E-2</v>
      </c>
      <c r="S82">
        <v>7455.021076</v>
      </c>
    </row>
    <row r="83" spans="1:19">
      <c r="A83">
        <v>9</v>
      </c>
      <c r="B83">
        <v>4.7780000000000001E-3</v>
      </c>
      <c r="C83">
        <v>1.9900000000000001E-4</v>
      </c>
      <c r="D83">
        <v>91058.945365000007</v>
      </c>
      <c r="E83">
        <v>0.11</v>
      </c>
      <c r="F83">
        <v>1.8E-5</v>
      </c>
      <c r="G83">
        <v>1.1351999999999999E-2</v>
      </c>
      <c r="H83">
        <v>14820.791889</v>
      </c>
      <c r="L83">
        <v>4</v>
      </c>
      <c r="M83">
        <v>6.9430000000000004E-3</v>
      </c>
      <c r="N83">
        <v>8.8800000000000001E-4</v>
      </c>
      <c r="O83">
        <v>91612.838770999995</v>
      </c>
      <c r="P83">
        <v>7.0000000000000007E-2</v>
      </c>
      <c r="Q83">
        <v>3.1999999999999999E-5</v>
      </c>
      <c r="R83">
        <v>1.1224E-2</v>
      </c>
      <c r="S83">
        <v>7455.4719050000003</v>
      </c>
    </row>
    <row r="84" spans="1:19">
      <c r="A84">
        <v>7</v>
      </c>
      <c r="B84">
        <v>4.7759999999999999E-3</v>
      </c>
      <c r="C84">
        <v>1.9799999999999999E-4</v>
      </c>
      <c r="D84">
        <v>91056.110094000003</v>
      </c>
      <c r="E84">
        <v>0.11</v>
      </c>
      <c r="F84">
        <v>1.4E-5</v>
      </c>
      <c r="G84">
        <v>1.0962E-2</v>
      </c>
      <c r="H84">
        <v>14820.330419</v>
      </c>
      <c r="L84">
        <v>9</v>
      </c>
      <c r="M84">
        <v>6.9470000000000001E-3</v>
      </c>
      <c r="N84">
        <v>8.83E-4</v>
      </c>
      <c r="O84">
        <v>91597.686012000006</v>
      </c>
      <c r="P84">
        <v>0.08</v>
      </c>
      <c r="Q84">
        <v>1.85E-4</v>
      </c>
      <c r="R84">
        <v>1.2552000000000001E-2</v>
      </c>
      <c r="S84">
        <v>7454.2387710000003</v>
      </c>
    </row>
    <row r="85" spans="1:19">
      <c r="A85">
        <v>4</v>
      </c>
      <c r="B85">
        <v>4.7819999999999998E-3</v>
      </c>
      <c r="C85">
        <v>1.94E-4</v>
      </c>
      <c r="D85">
        <v>91060.420037999997</v>
      </c>
      <c r="E85">
        <v>0.11</v>
      </c>
      <c r="F85">
        <v>1.2E-5</v>
      </c>
      <c r="G85">
        <v>1.093E-2</v>
      </c>
      <c r="H85">
        <v>14821.031907000001</v>
      </c>
      <c r="L85">
        <v>8</v>
      </c>
      <c r="M85">
        <v>6.9480000000000002E-3</v>
      </c>
      <c r="N85">
        <v>8.6600000000000002E-4</v>
      </c>
      <c r="O85">
        <v>91594.041245</v>
      </c>
      <c r="P85">
        <v>0.08</v>
      </c>
      <c r="Q85">
        <v>3.4299999999999999E-4</v>
      </c>
      <c r="R85">
        <v>1.3609E-2</v>
      </c>
      <c r="S85">
        <v>7453.9421590000002</v>
      </c>
    </row>
    <row r="86" spans="1:19">
      <c r="A86">
        <v>8</v>
      </c>
      <c r="B86">
        <v>4.7689999999999998E-3</v>
      </c>
      <c r="C86">
        <v>1.9699999999999999E-4</v>
      </c>
      <c r="D86">
        <v>91052.241555000001</v>
      </c>
      <c r="E86">
        <v>0.11</v>
      </c>
      <c r="F86">
        <v>1.2999999999999999E-5</v>
      </c>
      <c r="G86">
        <v>9.9480000000000002E-3</v>
      </c>
      <c r="H86">
        <v>14819.700774000001</v>
      </c>
      <c r="L86">
        <v>10</v>
      </c>
      <c r="M86">
        <v>6.9499999999999996E-3</v>
      </c>
      <c r="N86">
        <v>8.7000000000000001E-4</v>
      </c>
      <c r="O86">
        <v>91595.298464000007</v>
      </c>
      <c r="P86">
        <v>0.08</v>
      </c>
      <c r="Q86">
        <v>6.4400000000000004E-4</v>
      </c>
      <c r="R86">
        <v>1.2732E-2</v>
      </c>
      <c r="S86">
        <v>7454.0444710000002</v>
      </c>
    </row>
    <row r="87" spans="1:19">
      <c r="A87">
        <v>10</v>
      </c>
      <c r="B87">
        <v>4.7730000000000003E-3</v>
      </c>
      <c r="C87">
        <v>2.0900000000000001E-4</v>
      </c>
      <c r="D87">
        <v>91065.539887999999</v>
      </c>
      <c r="E87">
        <v>0.11</v>
      </c>
      <c r="F87">
        <v>1.1E-5</v>
      </c>
      <c r="G87">
        <v>1.0806E-2</v>
      </c>
      <c r="H87">
        <v>14821.865216</v>
      </c>
      <c r="L87">
        <v>1</v>
      </c>
      <c r="M87">
        <v>6.9449999999999998E-3</v>
      </c>
      <c r="N87">
        <v>9.2100000000000005E-4</v>
      </c>
      <c r="O87">
        <v>91614.986944000004</v>
      </c>
      <c r="P87">
        <v>0.08</v>
      </c>
      <c r="Q87">
        <v>6.2500000000000001E-4</v>
      </c>
      <c r="R87">
        <v>1.1232000000000001E-2</v>
      </c>
      <c r="S87">
        <v>7455.6467240000002</v>
      </c>
    </row>
    <row r="88" spans="1:19">
      <c r="A88">
        <v>3</v>
      </c>
      <c r="B88">
        <v>4.7689999999999998E-3</v>
      </c>
      <c r="C88">
        <v>1.9900000000000001E-4</v>
      </c>
      <c r="D88">
        <v>91052.733242999995</v>
      </c>
      <c r="E88">
        <v>0.11</v>
      </c>
      <c r="F88">
        <v>6.0000000000000002E-6</v>
      </c>
      <c r="G88">
        <v>1.2071E-2</v>
      </c>
      <c r="H88">
        <v>14819.780801000001</v>
      </c>
      <c r="L88">
        <v>7</v>
      </c>
      <c r="M88">
        <v>6.9519999999999998E-3</v>
      </c>
      <c r="N88">
        <v>9.5500000000000001E-4</v>
      </c>
      <c r="O88">
        <v>91605.896907000002</v>
      </c>
      <c r="P88">
        <v>7.0000000000000007E-2</v>
      </c>
      <c r="Q88">
        <v>6.6500000000000001E-4</v>
      </c>
      <c r="R88">
        <v>1.3099E-2</v>
      </c>
      <c r="S88">
        <v>7454.9069749999999</v>
      </c>
    </row>
    <row r="89" spans="1:19">
      <c r="A89" t="s">
        <v>28</v>
      </c>
      <c r="B89">
        <f t="shared" ref="B89:H89" si="10">AVERAGE(B79:B88)</f>
        <v>4.7708000000000004E-3</v>
      </c>
      <c r="C89">
        <f t="shared" si="10"/>
        <v>1.9919999999999999E-4</v>
      </c>
      <c r="D89">
        <f t="shared" si="10"/>
        <v>91048.274078000002</v>
      </c>
      <c r="E89">
        <f t="shared" si="10"/>
        <v>0.11000000000000001</v>
      </c>
      <c r="F89">
        <f t="shared" si="10"/>
        <v>1.49E-5</v>
      </c>
      <c r="G89">
        <f t="shared" si="10"/>
        <v>1.1313299999999998E-2</v>
      </c>
      <c r="H89">
        <f t="shared" si="10"/>
        <v>14819.055025799997</v>
      </c>
      <c r="L89" t="s">
        <v>28</v>
      </c>
      <c r="M89">
        <f t="shared" ref="M89:S89" si="11">AVERAGE(M79:M88)</f>
        <v>6.9197000000000009E-3</v>
      </c>
      <c r="N89">
        <f t="shared" si="11"/>
        <v>8.9080000000000008E-4</v>
      </c>
      <c r="O89">
        <f t="shared" si="11"/>
        <v>91791.549937000003</v>
      </c>
      <c r="P89">
        <f t="shared" si="11"/>
        <v>7.3999999999999996E-2</v>
      </c>
      <c r="Q89">
        <f t="shared" si="11"/>
        <v>2.4349999999999996E-4</v>
      </c>
      <c r="R89">
        <f t="shared" si="11"/>
        <v>1.2177800000000001E-2</v>
      </c>
      <c r="S89">
        <f t="shared" si="11"/>
        <v>7470.0154571000003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89"/>
  <sheetViews>
    <sheetView workbookViewId="0">
      <selection activeCell="W4" sqref="W4:Z15"/>
    </sheetView>
  </sheetViews>
  <sheetFormatPr defaultRowHeight="15"/>
  <sheetData>
    <row r="2" spans="1:26">
      <c r="A2" t="s">
        <v>15</v>
      </c>
      <c r="L2" t="s">
        <v>16</v>
      </c>
    </row>
    <row r="3" spans="1:26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V3" t="s">
        <v>6</v>
      </c>
      <c r="W3" t="s">
        <v>25</v>
      </c>
      <c r="X3" t="s">
        <v>26</v>
      </c>
      <c r="Y3" t="s">
        <v>27</v>
      </c>
      <c r="Z3" t="s">
        <v>21</v>
      </c>
    </row>
    <row r="4" spans="1:26">
      <c r="A4">
        <v>2</v>
      </c>
      <c r="B4">
        <v>2.8499999999999999E-4</v>
      </c>
      <c r="C4">
        <v>9.8999999999999994E-5</v>
      </c>
      <c r="D4">
        <v>17149.551746000001</v>
      </c>
      <c r="E4">
        <v>0</v>
      </c>
      <c r="F4">
        <v>-7.1000000000000005E-5</v>
      </c>
      <c r="G4">
        <v>5.5690000000000002E-3</v>
      </c>
      <c r="H4">
        <v>16747.609127</v>
      </c>
      <c r="L4">
        <v>1</v>
      </c>
      <c r="M4">
        <v>8.4461999999999995E-2</v>
      </c>
      <c r="N4">
        <v>1.4100000000000001E-4</v>
      </c>
      <c r="O4">
        <v>93648.422074999995</v>
      </c>
      <c r="P4">
        <v>0</v>
      </c>
      <c r="Q4">
        <v>1.4999999999999999E-4</v>
      </c>
      <c r="R4">
        <v>0.112867</v>
      </c>
      <c r="S4">
        <v>13064.791026000001</v>
      </c>
      <c r="V4">
        <v>128</v>
      </c>
      <c r="W4">
        <f>B14</f>
        <v>2.9209999999999994E-4</v>
      </c>
      <c r="X4">
        <f>C14</f>
        <v>9.8299999999999991E-5</v>
      </c>
      <c r="Y4">
        <f>D14</f>
        <v>17285.4704256</v>
      </c>
      <c r="Z4">
        <f>E14</f>
        <v>0</v>
      </c>
    </row>
    <row r="5" spans="1:26">
      <c r="A5">
        <v>5</v>
      </c>
      <c r="B5">
        <v>2.9100000000000003E-4</v>
      </c>
      <c r="C5">
        <v>9.7999999999999997E-5</v>
      </c>
      <c r="D5">
        <v>17319.533113000001</v>
      </c>
      <c r="E5">
        <v>0</v>
      </c>
      <c r="F5">
        <v>-6.3E-5</v>
      </c>
      <c r="G5">
        <v>5.3249999999999999E-3</v>
      </c>
      <c r="H5">
        <v>16913.606555999999</v>
      </c>
      <c r="L5">
        <v>2</v>
      </c>
      <c r="M5">
        <v>9.1645000000000004E-2</v>
      </c>
      <c r="N5">
        <v>1.4100000000000001E-4</v>
      </c>
      <c r="O5">
        <v>93562.351043000002</v>
      </c>
      <c r="P5">
        <v>0</v>
      </c>
      <c r="Q5">
        <v>1.26E-4</v>
      </c>
      <c r="R5">
        <v>0.125083</v>
      </c>
      <c r="S5">
        <v>13052.783348999999</v>
      </c>
      <c r="V5">
        <v>256</v>
      </c>
      <c r="W5">
        <f>B29</f>
        <v>2.143E-4</v>
      </c>
      <c r="X5">
        <f>C29</f>
        <v>9.0600000000000007E-5</v>
      </c>
      <c r="Y5">
        <f>D29</f>
        <v>34742.640471700004</v>
      </c>
      <c r="Z5">
        <f>E29</f>
        <v>0</v>
      </c>
    </row>
    <row r="6" spans="1:26">
      <c r="A6">
        <v>1</v>
      </c>
      <c r="B6">
        <v>2.8600000000000001E-4</v>
      </c>
      <c r="C6">
        <v>9.7999999999999997E-5</v>
      </c>
      <c r="D6">
        <v>17370.759492000001</v>
      </c>
      <c r="E6">
        <v>0</v>
      </c>
      <c r="F6">
        <v>-6.4999999999999994E-5</v>
      </c>
      <c r="G6">
        <v>7.136E-3</v>
      </c>
      <c r="H6">
        <v>16963.632315999999</v>
      </c>
      <c r="L6">
        <v>4</v>
      </c>
      <c r="M6">
        <v>9.7585000000000005E-2</v>
      </c>
      <c r="N6">
        <v>1.4100000000000001E-4</v>
      </c>
      <c r="O6">
        <v>93568.387300000002</v>
      </c>
      <c r="P6">
        <v>0</v>
      </c>
      <c r="Q6">
        <v>1.6699999999999999E-4</v>
      </c>
      <c r="R6">
        <v>0.130217</v>
      </c>
      <c r="S6">
        <v>13053.625459999999</v>
      </c>
      <c r="V6">
        <v>384</v>
      </c>
      <c r="W6">
        <f>B44</f>
        <v>5.239E-4</v>
      </c>
      <c r="X6">
        <f>C44</f>
        <v>8.740000000000001E-5</v>
      </c>
      <c r="Y6">
        <f>D44</f>
        <v>52647.752098900011</v>
      </c>
      <c r="Z6">
        <f>E44</f>
        <v>0</v>
      </c>
    </row>
    <row r="7" spans="1:26">
      <c r="A7">
        <v>4</v>
      </c>
      <c r="B7">
        <v>2.9100000000000003E-4</v>
      </c>
      <c r="C7">
        <v>9.8999999999999994E-5</v>
      </c>
      <c r="D7">
        <v>17279.737727</v>
      </c>
      <c r="E7">
        <v>0</v>
      </c>
      <c r="F7">
        <v>-6.2000000000000003E-5</v>
      </c>
      <c r="G7">
        <v>7.6249999999999998E-3</v>
      </c>
      <c r="H7">
        <v>16874.743874</v>
      </c>
      <c r="L7">
        <v>3</v>
      </c>
      <c r="M7">
        <v>9.1936000000000004E-2</v>
      </c>
      <c r="N7">
        <v>1.4100000000000001E-4</v>
      </c>
      <c r="O7">
        <v>93682.879052999997</v>
      </c>
      <c r="P7">
        <v>0</v>
      </c>
      <c r="Q7">
        <v>1.6100000000000001E-4</v>
      </c>
      <c r="R7">
        <v>0.119557</v>
      </c>
      <c r="S7">
        <v>13069.598082</v>
      </c>
      <c r="V7">
        <v>512</v>
      </c>
      <c r="W7">
        <f>B59</f>
        <v>5.3220000000000003E-4</v>
      </c>
      <c r="X7">
        <f>C59</f>
        <v>8.379999999999999E-5</v>
      </c>
      <c r="Y7">
        <f>D59</f>
        <v>70144.505238900005</v>
      </c>
      <c r="Z7">
        <f>E59</f>
        <v>0</v>
      </c>
    </row>
    <row r="8" spans="1:26">
      <c r="A8">
        <v>3</v>
      </c>
      <c r="B8">
        <v>2.8699999999999998E-4</v>
      </c>
      <c r="C8">
        <v>9.7999999999999997E-5</v>
      </c>
      <c r="D8">
        <v>17320.121536999999</v>
      </c>
      <c r="E8">
        <v>0</v>
      </c>
      <c r="F8">
        <v>-7.2999999999999999E-5</v>
      </c>
      <c r="G8">
        <v>6.4929999999999996E-3</v>
      </c>
      <c r="H8">
        <v>16914.181187999999</v>
      </c>
      <c r="L8">
        <v>5</v>
      </c>
      <c r="M8">
        <v>7.9245999999999997E-2</v>
      </c>
      <c r="N8">
        <v>1.4100000000000001E-4</v>
      </c>
      <c r="O8">
        <v>93643.428950999994</v>
      </c>
      <c r="P8">
        <v>0</v>
      </c>
      <c r="Q8">
        <v>1.8900000000000001E-4</v>
      </c>
      <c r="R8">
        <v>0.109455</v>
      </c>
      <c r="S8">
        <v>13064.094440999999</v>
      </c>
      <c r="V8">
        <v>640</v>
      </c>
      <c r="W8">
        <f>B74</f>
        <v>6.508000000000001E-4</v>
      </c>
      <c r="X8">
        <f>C74</f>
        <v>8.4599999999999996E-5</v>
      </c>
      <c r="Y8">
        <f>D74</f>
        <v>88111.761972799985</v>
      </c>
      <c r="Z8">
        <f>E74</f>
        <v>0</v>
      </c>
    </row>
    <row r="9" spans="1:26">
      <c r="A9">
        <v>7</v>
      </c>
      <c r="B9">
        <v>2.8899999999999998E-4</v>
      </c>
      <c r="C9">
        <v>9.7999999999999997E-5</v>
      </c>
      <c r="D9">
        <v>17336.908394999999</v>
      </c>
      <c r="E9">
        <v>0</v>
      </c>
      <c r="F9">
        <v>-6.3999999999999997E-5</v>
      </c>
      <c r="G9">
        <v>6.8440000000000003E-3</v>
      </c>
      <c r="H9">
        <v>16930.574604000001</v>
      </c>
      <c r="L9">
        <v>8</v>
      </c>
      <c r="M9">
        <v>7.3566999999999994E-2</v>
      </c>
      <c r="N9">
        <v>1.3999999999999999E-4</v>
      </c>
      <c r="O9">
        <v>93545.776736</v>
      </c>
      <c r="P9">
        <v>0</v>
      </c>
      <c r="Q9">
        <v>2.4399999999999999E-4</v>
      </c>
      <c r="R9">
        <v>0.10382</v>
      </c>
      <c r="S9">
        <v>13050.471084999999</v>
      </c>
      <c r="V9">
        <v>768</v>
      </c>
      <c r="W9">
        <f>B89</f>
        <v>7.2300799999999998E-2</v>
      </c>
      <c r="X9">
        <f>C89</f>
        <v>1.2000000000000002E-4</v>
      </c>
      <c r="Y9">
        <f>D89</f>
        <v>93569.566221899979</v>
      </c>
      <c r="Z9">
        <f>E89</f>
        <v>0</v>
      </c>
    </row>
    <row r="10" spans="1:26">
      <c r="A10">
        <v>8</v>
      </c>
      <c r="B10">
        <v>3.01E-4</v>
      </c>
      <c r="C10">
        <v>9.8999999999999994E-5</v>
      </c>
      <c r="D10">
        <v>17257.486369999999</v>
      </c>
      <c r="E10">
        <v>0</v>
      </c>
      <c r="F10">
        <v>-8.2000000000000001E-5</v>
      </c>
      <c r="G10">
        <v>7.8259999999999996E-3</v>
      </c>
      <c r="H10">
        <v>16853.014032999999</v>
      </c>
      <c r="L10">
        <v>6</v>
      </c>
      <c r="M10">
        <v>5.8534999999999997E-2</v>
      </c>
      <c r="N10">
        <v>1.4100000000000001E-4</v>
      </c>
      <c r="O10">
        <v>93564.775192000001</v>
      </c>
      <c r="P10">
        <v>0</v>
      </c>
      <c r="Q10">
        <v>3.3100000000000002E-4</v>
      </c>
      <c r="R10">
        <v>7.4532000000000001E-2</v>
      </c>
      <c r="S10">
        <v>13053.121539</v>
      </c>
      <c r="V10">
        <v>896</v>
      </c>
      <c r="W10">
        <f>M14</f>
        <v>7.5978000000000004E-2</v>
      </c>
      <c r="X10">
        <f>N14</f>
        <v>1.4090000000000004E-4</v>
      </c>
      <c r="Y10">
        <f>O14</f>
        <v>93587.658056999993</v>
      </c>
      <c r="Z10">
        <f>P14</f>
        <v>0</v>
      </c>
    </row>
    <row r="11" spans="1:26">
      <c r="A11">
        <v>9</v>
      </c>
      <c r="B11">
        <v>3.0800000000000001E-4</v>
      </c>
      <c r="C11">
        <v>9.7999999999999997E-5</v>
      </c>
      <c r="D11">
        <v>17209.406817999999</v>
      </c>
      <c r="E11">
        <v>0</v>
      </c>
      <c r="F11">
        <v>-8.2999999999999998E-5</v>
      </c>
      <c r="G11">
        <v>6.169E-3</v>
      </c>
      <c r="H11">
        <v>16806.061345999999</v>
      </c>
      <c r="L11">
        <v>9</v>
      </c>
      <c r="M11">
        <v>5.8293999999999999E-2</v>
      </c>
      <c r="N11">
        <v>1.4100000000000001E-4</v>
      </c>
      <c r="O11">
        <v>93543.464762999996</v>
      </c>
      <c r="P11">
        <v>0</v>
      </c>
      <c r="Q11">
        <v>4.2900000000000002E-4</v>
      </c>
      <c r="R11">
        <v>7.3502999999999999E-2</v>
      </c>
      <c r="S11">
        <v>13050.148544</v>
      </c>
      <c r="V11">
        <v>1024</v>
      </c>
      <c r="W11">
        <f>M29</f>
        <v>7.9387299999999994E-2</v>
      </c>
      <c r="X11">
        <f>N29</f>
        <v>1.6150000000000002E-4</v>
      </c>
      <c r="Y11">
        <f>O29</f>
        <v>93636.839030200004</v>
      </c>
      <c r="Z11">
        <f>P29</f>
        <v>0</v>
      </c>
    </row>
    <row r="12" spans="1:26">
      <c r="A12">
        <v>10</v>
      </c>
      <c r="B12">
        <v>2.8699999999999998E-4</v>
      </c>
      <c r="C12">
        <v>9.7999999999999997E-5</v>
      </c>
      <c r="D12">
        <v>17323.143507000001</v>
      </c>
      <c r="E12">
        <v>0</v>
      </c>
      <c r="F12">
        <v>-6.6000000000000005E-5</v>
      </c>
      <c r="G12">
        <v>8.1580000000000003E-3</v>
      </c>
      <c r="H12">
        <v>16917.132331000001</v>
      </c>
      <c r="L12">
        <v>7</v>
      </c>
      <c r="M12">
        <v>5.7090000000000002E-2</v>
      </c>
      <c r="N12">
        <v>1.4100000000000001E-4</v>
      </c>
      <c r="O12">
        <v>93480.071118000007</v>
      </c>
      <c r="P12">
        <v>0</v>
      </c>
      <c r="Q12">
        <v>4.9100000000000001E-4</v>
      </c>
      <c r="R12">
        <v>7.4179999999999996E-2</v>
      </c>
      <c r="S12">
        <v>13041.304564</v>
      </c>
      <c r="V12">
        <v>1152</v>
      </c>
      <c r="W12">
        <f>M44</f>
        <v>7.2205799999999987E-2</v>
      </c>
      <c r="X12">
        <f>N44</f>
        <v>1.9719999999999997E-4</v>
      </c>
      <c r="Y12">
        <f>O44</f>
        <v>93681.944805900013</v>
      </c>
      <c r="Z12">
        <f>P44</f>
        <v>0</v>
      </c>
    </row>
    <row r="13" spans="1:26">
      <c r="A13">
        <v>6</v>
      </c>
      <c r="B13">
        <v>2.9599999999999998E-4</v>
      </c>
      <c r="C13">
        <v>9.7999999999999997E-5</v>
      </c>
      <c r="D13">
        <v>17288.055551000001</v>
      </c>
      <c r="E13">
        <v>0</v>
      </c>
      <c r="F13">
        <v>-7.4999999999999993E-5</v>
      </c>
      <c r="G13">
        <v>6.5789999999999998E-3</v>
      </c>
      <c r="H13">
        <v>16882.866749000001</v>
      </c>
      <c r="L13">
        <v>10</v>
      </c>
      <c r="M13">
        <v>6.7419999999999994E-2</v>
      </c>
      <c r="N13">
        <v>1.4100000000000001E-4</v>
      </c>
      <c r="O13">
        <v>93637.024338999996</v>
      </c>
      <c r="P13">
        <v>0</v>
      </c>
      <c r="Q13">
        <v>9.77E-4</v>
      </c>
      <c r="R13">
        <v>8.5646E-2</v>
      </c>
      <c r="S13">
        <v>13063.200940000001</v>
      </c>
      <c r="V13">
        <v>1280</v>
      </c>
      <c r="W13">
        <f>M59</f>
        <v>7.3684999999999987E-2</v>
      </c>
      <c r="X13">
        <f>N59</f>
        <v>2.0259999999999999E-4</v>
      </c>
      <c r="Y13">
        <f>O59</f>
        <v>93674.545755200001</v>
      </c>
      <c r="Z13">
        <f>P59</f>
        <v>0</v>
      </c>
    </row>
    <row r="14" spans="1:26">
      <c r="A14" t="s">
        <v>28</v>
      </c>
      <c r="B14">
        <f t="shared" ref="B14:H14" si="0">AVERAGE(B4:B13)</f>
        <v>2.9209999999999994E-4</v>
      </c>
      <c r="C14">
        <f t="shared" si="0"/>
        <v>9.8299999999999991E-5</v>
      </c>
      <c r="D14">
        <f t="shared" si="0"/>
        <v>17285.4704256</v>
      </c>
      <c r="E14">
        <f t="shared" si="0"/>
        <v>0</v>
      </c>
      <c r="F14">
        <f t="shared" si="0"/>
        <v>-7.039999999999999E-5</v>
      </c>
      <c r="G14">
        <f t="shared" si="0"/>
        <v>6.7724000000000005E-3</v>
      </c>
      <c r="H14">
        <f t="shared" si="0"/>
        <v>16880.342212399999</v>
      </c>
      <c r="L14" t="s">
        <v>28</v>
      </c>
      <c r="M14">
        <f t="shared" ref="M14:S14" si="1">AVERAGE(M4:M13)</f>
        <v>7.5978000000000004E-2</v>
      </c>
      <c r="N14">
        <f t="shared" si="1"/>
        <v>1.4090000000000004E-4</v>
      </c>
      <c r="O14">
        <f t="shared" si="1"/>
        <v>93587.658056999993</v>
      </c>
      <c r="P14">
        <f t="shared" si="1"/>
        <v>0</v>
      </c>
      <c r="Q14">
        <f t="shared" si="1"/>
        <v>3.2650000000000002E-4</v>
      </c>
      <c r="R14">
        <f t="shared" si="1"/>
        <v>0.100886</v>
      </c>
      <c r="S14">
        <f t="shared" si="1"/>
        <v>13056.313903</v>
      </c>
      <c r="V14">
        <v>1408</v>
      </c>
      <c r="W14">
        <f>M74</f>
        <v>7.3355099999999979E-2</v>
      </c>
      <c r="X14">
        <f>N74</f>
        <v>2.2300000000000003E-4</v>
      </c>
      <c r="Y14">
        <f>O74</f>
        <v>93781.402425500011</v>
      </c>
      <c r="Z14">
        <f>P74</f>
        <v>0</v>
      </c>
    </row>
    <row r="15" spans="1:26">
      <c r="V15">
        <v>1536</v>
      </c>
      <c r="W15">
        <f>M89</f>
        <v>6.7594399999999999E-2</v>
      </c>
      <c r="X15">
        <f>N89</f>
        <v>2.4419999999999997E-4</v>
      </c>
      <c r="Y15">
        <f>O89</f>
        <v>93687.49505160001</v>
      </c>
      <c r="Z15">
        <f>P89</f>
        <v>0</v>
      </c>
    </row>
    <row r="17" spans="1:19">
      <c r="A17" t="s">
        <v>29</v>
      </c>
      <c r="L17" t="s">
        <v>30</v>
      </c>
    </row>
    <row r="18" spans="1:19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L18" t="s">
        <v>17</v>
      </c>
      <c r="M18" t="s">
        <v>18</v>
      </c>
      <c r="N18" t="s">
        <v>19</v>
      </c>
      <c r="O18" t="s">
        <v>20</v>
      </c>
      <c r="P18" t="s">
        <v>21</v>
      </c>
      <c r="Q18" t="s">
        <v>22</v>
      </c>
      <c r="R18" t="s">
        <v>23</v>
      </c>
      <c r="S18" t="s">
        <v>24</v>
      </c>
    </row>
    <row r="19" spans="1:19">
      <c r="A19">
        <v>1</v>
      </c>
      <c r="B19">
        <v>2.0900000000000001E-4</v>
      </c>
      <c r="C19">
        <v>9.0000000000000006E-5</v>
      </c>
      <c r="D19">
        <v>34873.204827000001</v>
      </c>
      <c r="E19">
        <v>0</v>
      </c>
      <c r="F19">
        <v>-9.5000000000000005E-5</v>
      </c>
      <c r="G19">
        <v>6.692E-3</v>
      </c>
      <c r="H19">
        <v>17027.932045000001</v>
      </c>
      <c r="L19">
        <v>1</v>
      </c>
      <c r="M19">
        <v>8.8938000000000003E-2</v>
      </c>
      <c r="N19">
        <v>1.6100000000000001E-4</v>
      </c>
      <c r="O19">
        <v>93705.644769000006</v>
      </c>
      <c r="P19">
        <v>0</v>
      </c>
      <c r="Q19">
        <v>1.63E-4</v>
      </c>
      <c r="R19">
        <v>0.119362</v>
      </c>
      <c r="S19">
        <v>11438.67734</v>
      </c>
    </row>
    <row r="20" spans="1:19">
      <c r="A20">
        <v>5</v>
      </c>
      <c r="B20">
        <v>2.1699999999999999E-4</v>
      </c>
      <c r="C20">
        <v>9.1000000000000003E-5</v>
      </c>
      <c r="D20">
        <v>34689.214656999997</v>
      </c>
      <c r="E20">
        <v>0</v>
      </c>
      <c r="F20">
        <v>-1.08E-4</v>
      </c>
      <c r="G20">
        <v>7.5440000000000004E-3</v>
      </c>
      <c r="H20">
        <v>16938.093094</v>
      </c>
      <c r="L20">
        <v>2</v>
      </c>
      <c r="M20">
        <v>8.2433999999999993E-2</v>
      </c>
      <c r="N20">
        <v>1.6100000000000001E-4</v>
      </c>
      <c r="O20">
        <v>93697.263609000001</v>
      </c>
      <c r="P20">
        <v>0</v>
      </c>
      <c r="Q20">
        <v>1.6699999999999999E-4</v>
      </c>
      <c r="R20">
        <v>0.110426</v>
      </c>
      <c r="S20">
        <v>11437.654248999999</v>
      </c>
    </row>
    <row r="21" spans="1:19">
      <c r="A21">
        <v>4</v>
      </c>
      <c r="B21">
        <v>2.14E-4</v>
      </c>
      <c r="C21">
        <v>9.1000000000000003E-5</v>
      </c>
      <c r="D21">
        <v>34755.927563999998</v>
      </c>
      <c r="E21">
        <v>0</v>
      </c>
      <c r="F21">
        <v>-1.05E-4</v>
      </c>
      <c r="G21">
        <v>7.1139999999999997E-3</v>
      </c>
      <c r="H21">
        <v>16970.667755999999</v>
      </c>
      <c r="L21">
        <v>5</v>
      </c>
      <c r="M21">
        <v>7.9971E-2</v>
      </c>
      <c r="N21">
        <v>1.6200000000000001E-4</v>
      </c>
      <c r="O21">
        <v>93547.581489000004</v>
      </c>
      <c r="P21">
        <v>0</v>
      </c>
      <c r="Q21">
        <v>2.2000000000000001E-4</v>
      </c>
      <c r="R21">
        <v>0.10959199999999999</v>
      </c>
      <c r="S21">
        <v>11419.382506</v>
      </c>
    </row>
    <row r="22" spans="1:19">
      <c r="A22">
        <v>2</v>
      </c>
      <c r="B22">
        <v>2.1599999999999999E-4</v>
      </c>
      <c r="C22">
        <v>9.0000000000000006E-5</v>
      </c>
      <c r="D22">
        <v>34757.402601000002</v>
      </c>
      <c r="E22">
        <v>0</v>
      </c>
      <c r="F22">
        <v>-9.8999999999999994E-5</v>
      </c>
      <c r="G22">
        <v>7.1370000000000001E-3</v>
      </c>
      <c r="H22">
        <v>16971.387988999999</v>
      </c>
      <c r="L22">
        <v>3</v>
      </c>
      <c r="M22">
        <v>8.9592000000000005E-2</v>
      </c>
      <c r="N22">
        <v>1.6200000000000001E-4</v>
      </c>
      <c r="O22">
        <v>93682.386517999999</v>
      </c>
      <c r="P22">
        <v>0</v>
      </c>
      <c r="Q22">
        <v>2.43E-4</v>
      </c>
      <c r="R22">
        <v>0.120047</v>
      </c>
      <c r="S22">
        <v>11435.838197999999</v>
      </c>
    </row>
    <row r="23" spans="1:19">
      <c r="A23">
        <v>7</v>
      </c>
      <c r="B23">
        <v>2.1100000000000001E-4</v>
      </c>
      <c r="C23">
        <v>9.0000000000000006E-5</v>
      </c>
      <c r="D23">
        <v>34866.821779999998</v>
      </c>
      <c r="E23">
        <v>0</v>
      </c>
      <c r="F23">
        <v>-9.7999999999999997E-5</v>
      </c>
      <c r="G23">
        <v>6.0980000000000001E-3</v>
      </c>
      <c r="H23">
        <v>17024.815321999999</v>
      </c>
      <c r="L23">
        <v>4</v>
      </c>
      <c r="M23">
        <v>9.3001E-2</v>
      </c>
      <c r="N23">
        <v>1.6100000000000001E-4</v>
      </c>
      <c r="O23">
        <v>93633.449030999996</v>
      </c>
      <c r="P23">
        <v>0</v>
      </c>
      <c r="Q23">
        <v>2.0000000000000001E-4</v>
      </c>
      <c r="R23">
        <v>0.12679599999999999</v>
      </c>
      <c r="S23">
        <v>11429.864384</v>
      </c>
    </row>
    <row r="24" spans="1:19">
      <c r="A24">
        <v>3</v>
      </c>
      <c r="B24">
        <v>2.1800000000000001E-4</v>
      </c>
      <c r="C24">
        <v>9.0000000000000006E-5</v>
      </c>
      <c r="D24">
        <v>34805.225652000001</v>
      </c>
      <c r="E24">
        <v>0</v>
      </c>
      <c r="F24">
        <v>-1E-4</v>
      </c>
      <c r="G24">
        <v>7.5529999999999998E-3</v>
      </c>
      <c r="H24">
        <v>16994.739087999998</v>
      </c>
      <c r="L24">
        <v>7</v>
      </c>
      <c r="M24">
        <v>8.8025999999999993E-2</v>
      </c>
      <c r="N24">
        <v>1.6200000000000001E-4</v>
      </c>
      <c r="O24">
        <v>93751.031088000003</v>
      </c>
      <c r="P24">
        <v>0</v>
      </c>
      <c r="Q24">
        <v>2.92E-4</v>
      </c>
      <c r="R24">
        <v>0.12167699999999999</v>
      </c>
      <c r="S24">
        <v>11444.217661999999</v>
      </c>
    </row>
    <row r="25" spans="1:19">
      <c r="A25">
        <v>6</v>
      </c>
      <c r="B25">
        <v>2.0799999999999999E-4</v>
      </c>
      <c r="C25">
        <v>9.0000000000000006E-5</v>
      </c>
      <c r="D25">
        <v>34832.425088000004</v>
      </c>
      <c r="E25">
        <v>0</v>
      </c>
      <c r="F25">
        <v>-9.8999999999999994E-5</v>
      </c>
      <c r="G25">
        <v>7.8820000000000001E-3</v>
      </c>
      <c r="H25">
        <v>17008.020062</v>
      </c>
      <c r="L25">
        <v>6</v>
      </c>
      <c r="M25">
        <v>8.5286000000000001E-2</v>
      </c>
      <c r="N25">
        <v>1.6200000000000001E-4</v>
      </c>
      <c r="O25">
        <v>93590.853277000002</v>
      </c>
      <c r="P25">
        <v>0</v>
      </c>
      <c r="Q25">
        <v>3.0899999999999998E-4</v>
      </c>
      <c r="R25">
        <v>0.11767</v>
      </c>
      <c r="S25">
        <v>11424.664707</v>
      </c>
    </row>
    <row r="26" spans="1:19">
      <c r="A26">
        <v>8</v>
      </c>
      <c r="B26">
        <v>2.1499999999999999E-4</v>
      </c>
      <c r="C26">
        <v>9.2E-5</v>
      </c>
      <c r="D26">
        <v>34434.134418000001</v>
      </c>
      <c r="E26">
        <v>0</v>
      </c>
      <c r="F26">
        <v>-1.03E-4</v>
      </c>
      <c r="G26">
        <v>5.7250000000000001E-3</v>
      </c>
      <c r="H26">
        <v>16813.542195999999</v>
      </c>
      <c r="L26">
        <v>9</v>
      </c>
      <c r="M26">
        <v>6.0243999999999999E-2</v>
      </c>
      <c r="N26">
        <v>1.63E-4</v>
      </c>
      <c r="O26">
        <v>93514.546180000005</v>
      </c>
      <c r="P26">
        <v>0</v>
      </c>
      <c r="Q26">
        <v>6.2399999999999999E-4</v>
      </c>
      <c r="R26">
        <v>7.9796000000000006E-2</v>
      </c>
      <c r="S26">
        <v>11415.349875</v>
      </c>
    </row>
    <row r="27" spans="1:19">
      <c r="A27">
        <v>9</v>
      </c>
      <c r="B27">
        <v>2.1699999999999999E-4</v>
      </c>
      <c r="C27">
        <v>9.1000000000000003E-5</v>
      </c>
      <c r="D27">
        <v>34700.513486000003</v>
      </c>
      <c r="E27">
        <v>0</v>
      </c>
      <c r="F27">
        <v>-1.2400000000000001E-4</v>
      </c>
      <c r="G27">
        <v>6.587E-3</v>
      </c>
      <c r="H27">
        <v>16943.610100999998</v>
      </c>
      <c r="L27">
        <v>8</v>
      </c>
      <c r="M27">
        <v>6.9411E-2</v>
      </c>
      <c r="N27">
        <v>1.6100000000000001E-4</v>
      </c>
      <c r="O27">
        <v>93557.767894999997</v>
      </c>
      <c r="P27">
        <v>0</v>
      </c>
      <c r="Q27">
        <v>1.274E-3</v>
      </c>
      <c r="R27">
        <v>9.0592000000000006E-2</v>
      </c>
      <c r="S27">
        <v>11420.625964000001</v>
      </c>
    </row>
    <row r="28" spans="1:19">
      <c r="A28">
        <v>10</v>
      </c>
      <c r="B28">
        <v>2.1800000000000001E-4</v>
      </c>
      <c r="C28">
        <v>9.1000000000000003E-5</v>
      </c>
      <c r="D28">
        <v>34711.534643999999</v>
      </c>
      <c r="E28">
        <v>0</v>
      </c>
      <c r="F28">
        <v>-1.07E-4</v>
      </c>
      <c r="G28">
        <v>7.1850000000000004E-3</v>
      </c>
      <c r="H28">
        <v>16948.991526000002</v>
      </c>
      <c r="L28">
        <v>10</v>
      </c>
      <c r="M28">
        <v>5.697E-2</v>
      </c>
      <c r="N28">
        <v>1.6000000000000001E-4</v>
      </c>
      <c r="O28">
        <v>93687.866446</v>
      </c>
      <c r="P28">
        <v>0</v>
      </c>
      <c r="Q28">
        <v>1.7470000000000001E-3</v>
      </c>
      <c r="R28">
        <v>8.8218000000000005E-2</v>
      </c>
      <c r="S28">
        <v>11436.507133999999</v>
      </c>
    </row>
    <row r="29" spans="1:19">
      <c r="A29" t="s">
        <v>28</v>
      </c>
      <c r="B29">
        <f t="shared" ref="B29:H29" si="2">AVERAGE(B19:B28)</f>
        <v>2.143E-4</v>
      </c>
      <c r="C29">
        <f t="shared" si="2"/>
        <v>9.0600000000000007E-5</v>
      </c>
      <c r="D29">
        <f t="shared" si="2"/>
        <v>34742.640471700004</v>
      </c>
      <c r="E29">
        <f t="shared" si="2"/>
        <v>0</v>
      </c>
      <c r="F29">
        <f t="shared" si="2"/>
        <v>-1.038E-4</v>
      </c>
      <c r="G29">
        <f t="shared" si="2"/>
        <v>6.9517000000000008E-3</v>
      </c>
      <c r="H29">
        <f t="shared" si="2"/>
        <v>16964.179917900001</v>
      </c>
      <c r="L29" t="s">
        <v>28</v>
      </c>
      <c r="M29">
        <f t="shared" ref="M29:S29" si="3">AVERAGE(M19:M28)</f>
        <v>7.9387299999999994E-2</v>
      </c>
      <c r="N29">
        <f t="shared" si="3"/>
        <v>1.6150000000000002E-4</v>
      </c>
      <c r="O29">
        <f t="shared" si="3"/>
        <v>93636.839030200004</v>
      </c>
      <c r="P29">
        <f t="shared" si="3"/>
        <v>0</v>
      </c>
      <c r="Q29">
        <f t="shared" si="3"/>
        <v>5.239000000000001E-4</v>
      </c>
      <c r="R29">
        <f t="shared" si="3"/>
        <v>0.1084176</v>
      </c>
      <c r="S29">
        <f t="shared" si="3"/>
        <v>11430.278201900001</v>
      </c>
    </row>
    <row r="32" spans="1:19">
      <c r="A32" t="s">
        <v>31</v>
      </c>
      <c r="L32" t="s">
        <v>32</v>
      </c>
    </row>
    <row r="33" spans="1:19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L33" t="s">
        <v>17</v>
      </c>
      <c r="M33" t="s">
        <v>18</v>
      </c>
      <c r="N33" t="s">
        <v>19</v>
      </c>
      <c r="O33" t="s">
        <v>20</v>
      </c>
      <c r="P33" t="s">
        <v>21</v>
      </c>
      <c r="Q33" t="s">
        <v>22</v>
      </c>
      <c r="R33" t="s">
        <v>23</v>
      </c>
      <c r="S33" t="s">
        <v>24</v>
      </c>
    </row>
    <row r="34" spans="1:19">
      <c r="A34">
        <v>1</v>
      </c>
      <c r="B34">
        <v>5.3799999999999996E-4</v>
      </c>
      <c r="C34">
        <v>8.7999999999999998E-5</v>
      </c>
      <c r="D34">
        <v>52372.985437000003</v>
      </c>
      <c r="E34">
        <v>0</v>
      </c>
      <c r="F34">
        <v>-2.5000000000000001E-5</v>
      </c>
      <c r="G34">
        <v>5.6579999999999998E-3</v>
      </c>
      <c r="H34">
        <v>17048.497864000001</v>
      </c>
      <c r="L34">
        <v>1</v>
      </c>
      <c r="M34">
        <v>8.7753999999999999E-2</v>
      </c>
      <c r="N34">
        <v>1.63E-4</v>
      </c>
      <c r="O34">
        <v>104123.96829200001</v>
      </c>
      <c r="P34">
        <v>0</v>
      </c>
      <c r="Q34">
        <v>1.92E-4</v>
      </c>
      <c r="R34">
        <v>0.115039</v>
      </c>
      <c r="S34">
        <v>11298.173643</v>
      </c>
    </row>
    <row r="35" spans="1:19">
      <c r="A35">
        <v>4</v>
      </c>
      <c r="B35">
        <v>5.2300000000000003E-4</v>
      </c>
      <c r="C35">
        <v>8.7000000000000001E-5</v>
      </c>
      <c r="D35">
        <v>52645.382961000003</v>
      </c>
      <c r="E35">
        <v>0</v>
      </c>
      <c r="F35">
        <v>6.0000000000000002E-6</v>
      </c>
      <c r="G35">
        <v>7.4099999999999999E-3</v>
      </c>
      <c r="H35">
        <v>17137.168933000001</v>
      </c>
      <c r="L35">
        <v>3</v>
      </c>
      <c r="M35">
        <v>0.13126299999999999</v>
      </c>
      <c r="N35">
        <v>3.3300000000000002E-4</v>
      </c>
      <c r="O35">
        <v>52452.913768999999</v>
      </c>
      <c r="P35">
        <v>0</v>
      </c>
      <c r="Q35">
        <v>1.8599999999999999E-4</v>
      </c>
      <c r="R35">
        <v>0.215859</v>
      </c>
      <c r="S35">
        <v>5691.5054</v>
      </c>
    </row>
    <row r="36" spans="1:19">
      <c r="A36">
        <v>5</v>
      </c>
      <c r="B36">
        <v>5.3200000000000003E-4</v>
      </c>
      <c r="C36">
        <v>8.7999999999999998E-5</v>
      </c>
      <c r="D36">
        <v>52508.280874999997</v>
      </c>
      <c r="E36">
        <v>0</v>
      </c>
      <c r="F36">
        <v>1.9999999999999999E-6</v>
      </c>
      <c r="G36">
        <v>5.8440000000000002E-3</v>
      </c>
      <c r="H36">
        <v>17092.539347000002</v>
      </c>
      <c r="L36">
        <v>5</v>
      </c>
      <c r="M36">
        <v>7.9270999999999994E-2</v>
      </c>
      <c r="N36">
        <v>1.63E-4</v>
      </c>
      <c r="O36">
        <v>103949.040092</v>
      </c>
      <c r="P36">
        <v>0</v>
      </c>
      <c r="Q36">
        <v>2.6800000000000001E-4</v>
      </c>
      <c r="R36">
        <v>0.11027000000000001</v>
      </c>
      <c r="S36">
        <v>11279.192718</v>
      </c>
    </row>
    <row r="37" spans="1:19">
      <c r="A37">
        <v>3</v>
      </c>
      <c r="B37">
        <v>5.2899999999999996E-4</v>
      </c>
      <c r="C37">
        <v>8.7999999999999998E-5</v>
      </c>
      <c r="D37">
        <v>52475.085830000004</v>
      </c>
      <c r="E37">
        <v>0</v>
      </c>
      <c r="F37">
        <v>-1.9000000000000001E-5</v>
      </c>
      <c r="G37">
        <v>6.0990000000000003E-3</v>
      </c>
      <c r="H37">
        <v>17081.733669000001</v>
      </c>
      <c r="L37">
        <v>2</v>
      </c>
      <c r="M37">
        <v>5.2699999999999997E-2</v>
      </c>
      <c r="N37">
        <v>1.63E-4</v>
      </c>
      <c r="O37">
        <v>103927.143537</v>
      </c>
      <c r="P37">
        <v>0</v>
      </c>
      <c r="Q37">
        <v>4.4200000000000001E-4</v>
      </c>
      <c r="R37">
        <v>6.7821999999999993E-2</v>
      </c>
      <c r="S37">
        <v>11276.816790000001</v>
      </c>
    </row>
    <row r="38" spans="1:19">
      <c r="A38">
        <v>2</v>
      </c>
      <c r="B38">
        <v>5.2499999999999997E-4</v>
      </c>
      <c r="C38">
        <v>8.7000000000000001E-5</v>
      </c>
      <c r="D38">
        <v>52695.079313000002</v>
      </c>
      <c r="E38">
        <v>0</v>
      </c>
      <c r="F38">
        <v>1.1E-5</v>
      </c>
      <c r="G38">
        <v>7.2579999999999997E-3</v>
      </c>
      <c r="H38">
        <v>17153.346130000002</v>
      </c>
      <c r="L38">
        <v>6</v>
      </c>
      <c r="M38">
        <v>5.2564E-2</v>
      </c>
      <c r="N38">
        <v>1.63E-4</v>
      </c>
      <c r="O38">
        <v>104021.704153</v>
      </c>
      <c r="P38">
        <v>0</v>
      </c>
      <c r="Q38">
        <v>5.3300000000000005E-4</v>
      </c>
      <c r="R38">
        <v>6.9110000000000005E-2</v>
      </c>
      <c r="S38">
        <v>11287.077273999999</v>
      </c>
    </row>
    <row r="39" spans="1:19">
      <c r="A39">
        <v>6</v>
      </c>
      <c r="B39">
        <v>5.2300000000000003E-4</v>
      </c>
      <c r="C39">
        <v>8.7999999999999998E-5</v>
      </c>
      <c r="D39">
        <v>52644.179952999999</v>
      </c>
      <c r="E39">
        <v>0</v>
      </c>
      <c r="F39">
        <v>-8.2000000000000001E-5</v>
      </c>
      <c r="G39">
        <v>7.7140000000000004E-3</v>
      </c>
      <c r="H39">
        <v>17136.777328</v>
      </c>
      <c r="L39">
        <v>4</v>
      </c>
      <c r="M39">
        <v>8.6162000000000002E-2</v>
      </c>
      <c r="N39">
        <v>3.3599999999999998E-4</v>
      </c>
      <c r="O39">
        <v>52210.707908999997</v>
      </c>
      <c r="P39">
        <v>0</v>
      </c>
      <c r="Q39">
        <v>4.9299999999999995E-4</v>
      </c>
      <c r="R39">
        <v>0.15685099999999999</v>
      </c>
      <c r="S39">
        <v>5665.2243820000003</v>
      </c>
    </row>
    <row r="40" spans="1:19">
      <c r="A40">
        <v>9</v>
      </c>
      <c r="B40">
        <v>5.2599999999999999E-4</v>
      </c>
      <c r="C40">
        <v>8.7999999999999998E-5</v>
      </c>
      <c r="D40">
        <v>52498.707921000001</v>
      </c>
      <c r="E40">
        <v>0</v>
      </c>
      <c r="F40">
        <v>-1.9000000000000001E-5</v>
      </c>
      <c r="G40">
        <v>7.509E-3</v>
      </c>
      <c r="H40">
        <v>17089.423150999999</v>
      </c>
      <c r="L40">
        <v>7</v>
      </c>
      <c r="M40">
        <v>5.2539000000000002E-2</v>
      </c>
      <c r="N40">
        <v>1.64E-4</v>
      </c>
      <c r="O40">
        <v>103952.829409</v>
      </c>
      <c r="P40">
        <v>0</v>
      </c>
      <c r="Q40">
        <v>7.4799999999999997E-4</v>
      </c>
      <c r="R40">
        <v>6.6989000000000007E-2</v>
      </c>
      <c r="S40">
        <v>11279.603885</v>
      </c>
    </row>
    <row r="41" spans="1:19">
      <c r="A41">
        <v>7</v>
      </c>
      <c r="B41">
        <v>5.1400000000000003E-4</v>
      </c>
      <c r="C41">
        <v>8.7000000000000001E-5</v>
      </c>
      <c r="D41">
        <v>52700.640450999999</v>
      </c>
      <c r="E41">
        <v>0</v>
      </c>
      <c r="F41">
        <v>-4.3000000000000002E-5</v>
      </c>
      <c r="G41">
        <v>5.7400000000000003E-3</v>
      </c>
      <c r="H41">
        <v>17155.156396999999</v>
      </c>
      <c r="L41">
        <v>8</v>
      </c>
      <c r="M41">
        <v>6.0213000000000003E-2</v>
      </c>
      <c r="N41">
        <v>1.63E-4</v>
      </c>
      <c r="O41">
        <v>103955.585941</v>
      </c>
      <c r="P41">
        <v>0</v>
      </c>
      <c r="Q41">
        <v>1.4250000000000001E-3</v>
      </c>
      <c r="R41">
        <v>7.7230999999999994E-2</v>
      </c>
      <c r="S41">
        <v>11279.902988</v>
      </c>
    </row>
    <row r="42" spans="1:19">
      <c r="A42">
        <v>10</v>
      </c>
      <c r="B42">
        <v>5.1699999999999999E-4</v>
      </c>
      <c r="C42">
        <v>8.7000000000000001E-5</v>
      </c>
      <c r="D42">
        <v>52919.887114999998</v>
      </c>
      <c r="E42">
        <v>0</v>
      </c>
      <c r="F42">
        <v>-1.7E-5</v>
      </c>
      <c r="G42">
        <v>6.8190000000000004E-3</v>
      </c>
      <c r="H42">
        <v>17226.525753999998</v>
      </c>
      <c r="L42">
        <v>10</v>
      </c>
      <c r="M42">
        <v>5.9181999999999998E-2</v>
      </c>
      <c r="N42">
        <v>1.6200000000000001E-4</v>
      </c>
      <c r="O42">
        <v>104181.24491199999</v>
      </c>
      <c r="P42">
        <v>0</v>
      </c>
      <c r="Q42">
        <v>1.694E-3</v>
      </c>
      <c r="R42">
        <v>8.1826999999999997E-2</v>
      </c>
      <c r="S42">
        <v>11304.388553999999</v>
      </c>
    </row>
    <row r="43" spans="1:19">
      <c r="A43">
        <v>8</v>
      </c>
      <c r="B43">
        <v>5.1199999999999998E-4</v>
      </c>
      <c r="C43">
        <v>8.6000000000000003E-5</v>
      </c>
      <c r="D43">
        <v>53017.291132999999</v>
      </c>
      <c r="E43">
        <v>0</v>
      </c>
      <c r="F43">
        <v>-9.0000000000000002E-6</v>
      </c>
      <c r="G43">
        <v>6.1349999999999998E-3</v>
      </c>
      <c r="H43">
        <v>17258.232790999999</v>
      </c>
      <c r="L43">
        <v>9</v>
      </c>
      <c r="M43">
        <v>6.0409999999999998E-2</v>
      </c>
      <c r="N43">
        <v>1.6200000000000001E-4</v>
      </c>
      <c r="O43">
        <v>104044.31004500001</v>
      </c>
      <c r="P43">
        <v>0</v>
      </c>
      <c r="Q43">
        <v>1.683E-3</v>
      </c>
      <c r="R43">
        <v>8.2043000000000005E-2</v>
      </c>
      <c r="S43">
        <v>11289.53017</v>
      </c>
    </row>
    <row r="44" spans="1:19">
      <c r="A44" t="s">
        <v>28</v>
      </c>
      <c r="B44">
        <f t="shared" ref="B44:H44" si="4">AVERAGE(B34:B43)</f>
        <v>5.239E-4</v>
      </c>
      <c r="C44">
        <f t="shared" si="4"/>
        <v>8.740000000000001E-5</v>
      </c>
      <c r="D44">
        <f t="shared" si="4"/>
        <v>52647.752098900011</v>
      </c>
      <c r="E44">
        <f t="shared" si="4"/>
        <v>0</v>
      </c>
      <c r="F44">
        <f t="shared" si="4"/>
        <v>-1.95E-5</v>
      </c>
      <c r="G44">
        <f t="shared" si="4"/>
        <v>6.6185999999999997E-3</v>
      </c>
      <c r="H44">
        <f t="shared" si="4"/>
        <v>17137.9401364</v>
      </c>
      <c r="L44" t="s">
        <v>28</v>
      </c>
      <c r="M44">
        <f t="shared" ref="M44:S44" si="5">AVERAGE(M34:M43)</f>
        <v>7.2205799999999987E-2</v>
      </c>
      <c r="N44">
        <f t="shared" si="5"/>
        <v>1.9719999999999997E-4</v>
      </c>
      <c r="O44">
        <f t="shared" si="5"/>
        <v>93681.944805900013</v>
      </c>
      <c r="P44">
        <f t="shared" si="5"/>
        <v>0</v>
      </c>
      <c r="Q44">
        <f t="shared" si="5"/>
        <v>7.6640000000000009E-4</v>
      </c>
      <c r="R44">
        <f t="shared" si="5"/>
        <v>0.10430409999999998</v>
      </c>
      <c r="S44">
        <f t="shared" si="5"/>
        <v>10165.141580400001</v>
      </c>
    </row>
    <row r="47" spans="1:19">
      <c r="A47" t="s">
        <v>33</v>
      </c>
      <c r="L47" t="s">
        <v>34</v>
      </c>
    </row>
    <row r="48" spans="1:19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L48" t="s">
        <v>17</v>
      </c>
      <c r="M48" t="s">
        <v>18</v>
      </c>
      <c r="N48" t="s">
        <v>19</v>
      </c>
      <c r="O48" t="s">
        <v>20</v>
      </c>
      <c r="P48" t="s">
        <v>21</v>
      </c>
      <c r="Q48" t="s">
        <v>22</v>
      </c>
      <c r="R48" t="s">
        <v>23</v>
      </c>
      <c r="S48" t="s">
        <v>24</v>
      </c>
    </row>
    <row r="49" spans="1:19">
      <c r="A49">
        <v>1</v>
      </c>
      <c r="B49">
        <v>5.2999999999999998E-4</v>
      </c>
      <c r="C49">
        <v>8.3999999999999995E-5</v>
      </c>
      <c r="D49">
        <v>70158.132540999999</v>
      </c>
      <c r="E49">
        <v>0</v>
      </c>
      <c r="F49">
        <v>2.1999999999999999E-5</v>
      </c>
      <c r="G49">
        <v>7.1409999999999998E-3</v>
      </c>
      <c r="H49">
        <v>17128.450326999999</v>
      </c>
      <c r="L49">
        <v>1</v>
      </c>
      <c r="M49">
        <v>9.8436999999999997E-2</v>
      </c>
      <c r="N49">
        <v>2.02E-4</v>
      </c>
      <c r="O49">
        <v>93938.526438000001</v>
      </c>
      <c r="P49">
        <v>0</v>
      </c>
      <c r="Q49">
        <v>1.8799999999999999E-4</v>
      </c>
      <c r="R49">
        <v>0.129554</v>
      </c>
      <c r="S49">
        <v>9173.6842219999999</v>
      </c>
    </row>
    <row r="50" spans="1:19">
      <c r="A50">
        <v>2</v>
      </c>
      <c r="B50">
        <v>5.2999999999999998E-4</v>
      </c>
      <c r="C50">
        <v>8.3999999999999995E-5</v>
      </c>
      <c r="D50">
        <v>70225.430569000004</v>
      </c>
      <c r="E50">
        <v>0</v>
      </c>
      <c r="F50">
        <v>1.5E-5</v>
      </c>
      <c r="G50">
        <v>6.3720000000000001E-3</v>
      </c>
      <c r="H50">
        <v>17144.880509999999</v>
      </c>
      <c r="L50">
        <v>5</v>
      </c>
      <c r="M50">
        <v>9.0091000000000004E-2</v>
      </c>
      <c r="N50">
        <v>2.02E-4</v>
      </c>
      <c r="O50">
        <v>93903.664778000006</v>
      </c>
      <c r="P50">
        <v>0</v>
      </c>
      <c r="Q50">
        <v>2.03E-4</v>
      </c>
      <c r="R50">
        <v>0.123934</v>
      </c>
      <c r="S50">
        <v>9170.2797630000005</v>
      </c>
    </row>
    <row r="51" spans="1:19">
      <c r="A51">
        <v>5</v>
      </c>
      <c r="B51">
        <v>5.3499999999999999E-4</v>
      </c>
      <c r="C51">
        <v>8.2999999999999998E-5</v>
      </c>
      <c r="D51">
        <v>69923.345566999997</v>
      </c>
      <c r="E51">
        <v>0</v>
      </c>
      <c r="F51">
        <v>6.6000000000000005E-5</v>
      </c>
      <c r="G51">
        <v>6.1209999999999997E-3</v>
      </c>
      <c r="H51">
        <v>17071.129289</v>
      </c>
      <c r="L51">
        <v>6</v>
      </c>
      <c r="M51">
        <v>9.2984999999999998E-2</v>
      </c>
      <c r="N51">
        <v>2.04E-4</v>
      </c>
      <c r="O51">
        <v>93695.196093000006</v>
      </c>
      <c r="P51">
        <v>0</v>
      </c>
      <c r="Q51">
        <v>2.04E-4</v>
      </c>
      <c r="R51">
        <v>0.12191299999999999</v>
      </c>
      <c r="S51">
        <v>9149.9214929999998</v>
      </c>
    </row>
    <row r="52" spans="1:19">
      <c r="A52">
        <v>3</v>
      </c>
      <c r="B52">
        <v>5.3399999999999997E-4</v>
      </c>
      <c r="C52">
        <v>8.3999999999999995E-5</v>
      </c>
      <c r="D52">
        <v>70201.765748999998</v>
      </c>
      <c r="E52">
        <v>0</v>
      </c>
      <c r="F52">
        <v>5.1999999999999997E-5</v>
      </c>
      <c r="G52">
        <v>6.1760000000000001E-3</v>
      </c>
      <c r="H52">
        <v>17139.102965999999</v>
      </c>
      <c r="L52">
        <v>3</v>
      </c>
      <c r="M52">
        <v>9.3628000000000003E-2</v>
      </c>
      <c r="N52">
        <v>2.02E-4</v>
      </c>
      <c r="O52">
        <v>93874.689689000006</v>
      </c>
      <c r="P52">
        <v>0</v>
      </c>
      <c r="Q52">
        <v>2.9500000000000001E-4</v>
      </c>
      <c r="R52">
        <v>0.124096</v>
      </c>
      <c r="S52">
        <v>9167.4501650000002</v>
      </c>
    </row>
    <row r="53" spans="1:19">
      <c r="A53">
        <v>4</v>
      </c>
      <c r="B53">
        <v>5.3300000000000005E-4</v>
      </c>
      <c r="C53">
        <v>8.3999999999999995E-5</v>
      </c>
      <c r="D53">
        <v>70072.434001000001</v>
      </c>
      <c r="E53">
        <v>0</v>
      </c>
      <c r="F53">
        <v>6.7999999999999999E-5</v>
      </c>
      <c r="G53">
        <v>6.0400000000000002E-3</v>
      </c>
      <c r="H53">
        <v>17107.527832</v>
      </c>
      <c r="L53">
        <v>2</v>
      </c>
      <c r="M53">
        <v>5.8698E-2</v>
      </c>
      <c r="N53">
        <v>2.03E-4</v>
      </c>
      <c r="O53">
        <v>93575.705935000005</v>
      </c>
      <c r="P53">
        <v>0</v>
      </c>
      <c r="Q53">
        <v>3.5E-4</v>
      </c>
      <c r="R53">
        <v>7.5012999999999996E-2</v>
      </c>
      <c r="S53">
        <v>9138.2525330000008</v>
      </c>
    </row>
    <row r="54" spans="1:19">
      <c r="A54">
        <v>7</v>
      </c>
      <c r="B54">
        <v>5.3300000000000005E-4</v>
      </c>
      <c r="C54">
        <v>8.3999999999999995E-5</v>
      </c>
      <c r="D54">
        <v>70230.647603000005</v>
      </c>
      <c r="E54">
        <v>0</v>
      </c>
      <c r="F54">
        <v>5.0000000000000002E-5</v>
      </c>
      <c r="G54">
        <v>7.0980000000000001E-3</v>
      </c>
      <c r="H54">
        <v>17146.154200000001</v>
      </c>
      <c r="L54">
        <v>4</v>
      </c>
      <c r="M54">
        <v>5.8754000000000001E-2</v>
      </c>
      <c r="N54">
        <v>2.03E-4</v>
      </c>
      <c r="O54">
        <v>93507.083947000006</v>
      </c>
      <c r="P54">
        <v>0</v>
      </c>
      <c r="Q54">
        <v>4.4099999999999999E-4</v>
      </c>
      <c r="R54">
        <v>7.4601000000000001E-2</v>
      </c>
      <c r="S54">
        <v>9131.5511669999996</v>
      </c>
    </row>
    <row r="55" spans="1:19">
      <c r="A55">
        <v>8</v>
      </c>
      <c r="B55">
        <v>5.3200000000000003E-4</v>
      </c>
      <c r="C55">
        <v>8.3999999999999995E-5</v>
      </c>
      <c r="D55">
        <v>70166.556951999999</v>
      </c>
      <c r="E55">
        <v>0</v>
      </c>
      <c r="F55">
        <v>6.8999999999999997E-5</v>
      </c>
      <c r="G55">
        <v>6.6509999999999998E-3</v>
      </c>
      <c r="H55">
        <v>17130.507067999999</v>
      </c>
      <c r="L55">
        <v>7</v>
      </c>
      <c r="M55">
        <v>5.8921000000000001E-2</v>
      </c>
      <c r="N55">
        <v>2.03E-4</v>
      </c>
      <c r="O55">
        <v>93538.477197999993</v>
      </c>
      <c r="P55">
        <v>0</v>
      </c>
      <c r="Q55">
        <v>8.8500000000000004E-4</v>
      </c>
      <c r="R55">
        <v>7.5237999999999999E-2</v>
      </c>
      <c r="S55">
        <v>9134.6169140000002</v>
      </c>
    </row>
    <row r="56" spans="1:19">
      <c r="A56">
        <v>9</v>
      </c>
      <c r="B56">
        <v>5.3300000000000005E-4</v>
      </c>
      <c r="C56">
        <v>8.3999999999999995E-5</v>
      </c>
      <c r="D56">
        <v>70083.189975000001</v>
      </c>
      <c r="E56">
        <v>0</v>
      </c>
      <c r="F56">
        <v>3.1000000000000001E-5</v>
      </c>
      <c r="G56">
        <v>5.6740000000000002E-3</v>
      </c>
      <c r="H56">
        <v>17110.153803000001</v>
      </c>
      <c r="L56">
        <v>8</v>
      </c>
      <c r="M56">
        <v>5.7750000000000003E-2</v>
      </c>
      <c r="N56">
        <v>2.02E-4</v>
      </c>
      <c r="O56">
        <v>93510.827084000004</v>
      </c>
      <c r="P56">
        <v>0</v>
      </c>
      <c r="Q56">
        <v>1.3569999999999999E-3</v>
      </c>
      <c r="R56">
        <v>8.9788999999999994E-2</v>
      </c>
      <c r="S56">
        <v>9131.9167070000003</v>
      </c>
    </row>
    <row r="57" spans="1:19">
      <c r="A57">
        <v>6</v>
      </c>
      <c r="B57">
        <v>5.31E-4</v>
      </c>
      <c r="C57">
        <v>8.3999999999999995E-5</v>
      </c>
      <c r="D57">
        <v>70164.962408000007</v>
      </c>
      <c r="E57">
        <v>0</v>
      </c>
      <c r="F57">
        <v>2.8E-5</v>
      </c>
      <c r="G57">
        <v>6.7400000000000003E-3</v>
      </c>
      <c r="H57">
        <v>17130.117774999999</v>
      </c>
      <c r="L57">
        <v>10</v>
      </c>
      <c r="M57">
        <v>6.9545999999999997E-2</v>
      </c>
      <c r="N57">
        <v>2.03E-4</v>
      </c>
      <c r="O57">
        <v>93528.248827000003</v>
      </c>
      <c r="P57">
        <v>0</v>
      </c>
      <c r="Q57">
        <v>1.3359999999999999E-3</v>
      </c>
      <c r="R57">
        <v>9.1706999999999997E-2</v>
      </c>
      <c r="S57">
        <v>9133.6180490000006</v>
      </c>
    </row>
    <row r="58" spans="1:19">
      <c r="A58">
        <v>10</v>
      </c>
      <c r="B58">
        <v>5.31E-4</v>
      </c>
      <c r="C58">
        <v>8.2999999999999998E-5</v>
      </c>
      <c r="D58">
        <v>70218.587023999993</v>
      </c>
      <c r="E58">
        <v>0</v>
      </c>
      <c r="F58">
        <v>6.4999999999999994E-5</v>
      </c>
      <c r="G58">
        <v>7.7840000000000001E-3</v>
      </c>
      <c r="H58">
        <v>17143.209723</v>
      </c>
      <c r="L58">
        <v>9</v>
      </c>
      <c r="M58">
        <v>5.8040000000000001E-2</v>
      </c>
      <c r="N58">
        <v>2.02E-4</v>
      </c>
      <c r="O58">
        <v>93673.037563000005</v>
      </c>
      <c r="P58">
        <v>0</v>
      </c>
      <c r="Q58">
        <v>1.3649999999999999E-3</v>
      </c>
      <c r="R58">
        <v>8.9732999999999993E-2</v>
      </c>
      <c r="S58">
        <v>9147.7575749999996</v>
      </c>
    </row>
    <row r="59" spans="1:19">
      <c r="A59" t="s">
        <v>28</v>
      </c>
      <c r="B59">
        <f t="shared" ref="B59:H59" si="6">AVERAGE(B49:B58)</f>
        <v>5.3220000000000003E-4</v>
      </c>
      <c r="C59">
        <f t="shared" si="6"/>
        <v>8.379999999999999E-5</v>
      </c>
      <c r="D59">
        <f t="shared" si="6"/>
        <v>70144.505238900005</v>
      </c>
      <c r="E59">
        <f t="shared" si="6"/>
        <v>0</v>
      </c>
      <c r="F59">
        <f t="shared" si="6"/>
        <v>4.6600000000000001E-5</v>
      </c>
      <c r="G59">
        <f t="shared" si="6"/>
        <v>6.5797000000000008E-3</v>
      </c>
      <c r="H59">
        <f t="shared" si="6"/>
        <v>17125.123349299996</v>
      </c>
      <c r="L59" t="s">
        <v>28</v>
      </c>
      <c r="M59">
        <f t="shared" ref="M59:S59" si="7">AVERAGE(M49:M58)</f>
        <v>7.3684999999999987E-2</v>
      </c>
      <c r="N59">
        <f t="shared" si="7"/>
        <v>2.0259999999999999E-4</v>
      </c>
      <c r="O59">
        <f t="shared" si="7"/>
        <v>93674.545755200001</v>
      </c>
      <c r="P59">
        <f t="shared" si="7"/>
        <v>0</v>
      </c>
      <c r="Q59">
        <f t="shared" si="7"/>
        <v>6.6239999999999995E-4</v>
      </c>
      <c r="R59">
        <f t="shared" si="7"/>
        <v>9.9557800000000002E-2</v>
      </c>
      <c r="S59">
        <f t="shared" si="7"/>
        <v>9147.9048587999987</v>
      </c>
    </row>
    <row r="62" spans="1:19">
      <c r="A62" t="s">
        <v>35</v>
      </c>
      <c r="L62" t="s">
        <v>36</v>
      </c>
    </row>
    <row r="63" spans="1:19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23</v>
      </c>
      <c r="H63" t="s">
        <v>24</v>
      </c>
      <c r="L63" t="s">
        <v>17</v>
      </c>
      <c r="M63" t="s">
        <v>18</v>
      </c>
      <c r="N63" t="s">
        <v>19</v>
      </c>
      <c r="O63" t="s">
        <v>20</v>
      </c>
      <c r="P63" t="s">
        <v>21</v>
      </c>
      <c r="Q63" t="s">
        <v>22</v>
      </c>
      <c r="R63" t="s">
        <v>23</v>
      </c>
      <c r="S63" t="s">
        <v>24</v>
      </c>
    </row>
    <row r="64" spans="1:19">
      <c r="A64">
        <v>5</v>
      </c>
      <c r="B64">
        <v>6.5200000000000002E-4</v>
      </c>
      <c r="C64">
        <v>8.5000000000000006E-5</v>
      </c>
      <c r="D64">
        <v>87592.179600999996</v>
      </c>
      <c r="E64">
        <v>0</v>
      </c>
      <c r="F64">
        <v>9.7E-5</v>
      </c>
      <c r="G64">
        <v>5.6839999999999998E-3</v>
      </c>
      <c r="H64">
        <v>17107.847578000001</v>
      </c>
      <c r="L64">
        <v>4</v>
      </c>
      <c r="M64">
        <v>9.2787999999999995E-2</v>
      </c>
      <c r="N64">
        <v>2.23E-4</v>
      </c>
      <c r="O64">
        <v>94008.687588000001</v>
      </c>
      <c r="P64">
        <v>0</v>
      </c>
      <c r="Q64">
        <v>2.3800000000000001E-4</v>
      </c>
      <c r="R64">
        <v>0.123973</v>
      </c>
      <c r="S64">
        <v>8345.9417250000006</v>
      </c>
    </row>
    <row r="65" spans="1:19">
      <c r="A65">
        <v>1</v>
      </c>
      <c r="B65">
        <v>6.4999999999999997E-4</v>
      </c>
      <c r="C65">
        <v>8.3999999999999995E-5</v>
      </c>
      <c r="D65">
        <v>88408.693608999994</v>
      </c>
      <c r="E65">
        <v>0</v>
      </c>
      <c r="F65">
        <v>7.4999999999999993E-5</v>
      </c>
      <c r="G65">
        <v>6.3870000000000003E-3</v>
      </c>
      <c r="H65">
        <v>17267.322970000001</v>
      </c>
      <c r="L65">
        <v>6</v>
      </c>
      <c r="M65">
        <v>8.7786000000000003E-2</v>
      </c>
      <c r="N65">
        <v>2.24E-4</v>
      </c>
      <c r="O65">
        <v>93959.975164000003</v>
      </c>
      <c r="P65">
        <v>0</v>
      </c>
      <c r="Q65">
        <v>2.3000000000000001E-4</v>
      </c>
      <c r="R65">
        <v>0.113385</v>
      </c>
      <c r="S65">
        <v>8341.6171130000002</v>
      </c>
    </row>
    <row r="66" spans="1:19">
      <c r="A66">
        <v>2</v>
      </c>
      <c r="B66">
        <v>6.4400000000000004E-4</v>
      </c>
      <c r="C66">
        <v>8.3999999999999995E-5</v>
      </c>
      <c r="D66">
        <v>88560.940042999995</v>
      </c>
      <c r="E66">
        <v>0</v>
      </c>
      <c r="F66">
        <v>1E-4</v>
      </c>
      <c r="G66">
        <v>5.8479999999999999E-3</v>
      </c>
      <c r="H66">
        <v>17297.058602000001</v>
      </c>
      <c r="L66">
        <v>8</v>
      </c>
      <c r="M66">
        <v>8.8335999999999998E-2</v>
      </c>
      <c r="N66">
        <v>2.23E-4</v>
      </c>
      <c r="O66">
        <v>93649.980555000002</v>
      </c>
      <c r="P66">
        <v>0</v>
      </c>
      <c r="Q66">
        <v>2.6800000000000001E-4</v>
      </c>
      <c r="R66">
        <v>0.120994</v>
      </c>
      <c r="S66">
        <v>8314.0962849999996</v>
      </c>
    </row>
    <row r="67" spans="1:19">
      <c r="A67">
        <v>4</v>
      </c>
      <c r="B67">
        <v>6.5499999999999998E-4</v>
      </c>
      <c r="C67">
        <v>8.5000000000000006E-5</v>
      </c>
      <c r="D67">
        <v>87417.157882</v>
      </c>
      <c r="E67">
        <v>0</v>
      </c>
      <c r="F67">
        <v>1.17E-4</v>
      </c>
      <c r="G67">
        <v>6.8519999999999996E-3</v>
      </c>
      <c r="H67">
        <v>17073.663648999998</v>
      </c>
      <c r="L67">
        <v>1</v>
      </c>
      <c r="M67">
        <v>9.3401999999999999E-2</v>
      </c>
      <c r="N67">
        <v>2.24E-4</v>
      </c>
      <c r="O67">
        <v>93626.158846000006</v>
      </c>
      <c r="P67">
        <v>0</v>
      </c>
      <c r="Q67">
        <v>3.2699999999999998E-4</v>
      </c>
      <c r="R67">
        <v>0.12543599999999999</v>
      </c>
      <c r="S67">
        <v>8311.9814320000005</v>
      </c>
    </row>
    <row r="68" spans="1:19">
      <c r="A68">
        <v>3</v>
      </c>
      <c r="B68">
        <v>6.4899999999999995E-4</v>
      </c>
      <c r="C68">
        <v>8.5000000000000006E-5</v>
      </c>
      <c r="D68">
        <v>88283.232940999995</v>
      </c>
      <c r="E68">
        <v>0</v>
      </c>
      <c r="F68">
        <v>1.16E-4</v>
      </c>
      <c r="G68">
        <v>5.7279999999999996E-3</v>
      </c>
      <c r="H68">
        <v>17242.818933999999</v>
      </c>
      <c r="L68">
        <v>2</v>
      </c>
      <c r="M68">
        <v>6.2689999999999996E-2</v>
      </c>
      <c r="N68">
        <v>2.22E-4</v>
      </c>
      <c r="O68">
        <v>93966.979269999996</v>
      </c>
      <c r="P68">
        <v>0</v>
      </c>
      <c r="Q68">
        <v>5.1000000000000004E-4</v>
      </c>
      <c r="R68">
        <v>0.178729</v>
      </c>
      <c r="S68">
        <v>8342.2389270000003</v>
      </c>
    </row>
    <row r="69" spans="1:19">
      <c r="A69">
        <v>6</v>
      </c>
      <c r="B69">
        <v>6.5200000000000002E-4</v>
      </c>
      <c r="C69">
        <v>8.3999999999999995E-5</v>
      </c>
      <c r="D69">
        <v>88251.842780999999</v>
      </c>
      <c r="E69">
        <v>0</v>
      </c>
      <c r="F69">
        <v>1.07E-4</v>
      </c>
      <c r="G69">
        <v>5.7600000000000004E-3</v>
      </c>
      <c r="H69">
        <v>17236.688042999998</v>
      </c>
      <c r="L69">
        <v>5</v>
      </c>
      <c r="M69">
        <v>5.9080000000000001E-2</v>
      </c>
      <c r="N69">
        <v>2.24E-4</v>
      </c>
      <c r="O69">
        <v>93534.998559</v>
      </c>
      <c r="P69">
        <v>0</v>
      </c>
      <c r="Q69">
        <v>4.86E-4</v>
      </c>
      <c r="R69">
        <v>7.5879000000000002E-2</v>
      </c>
      <c r="S69">
        <v>8303.8883659999992</v>
      </c>
    </row>
    <row r="70" spans="1:19">
      <c r="A70">
        <v>7</v>
      </c>
      <c r="B70">
        <v>6.4999999999999997E-4</v>
      </c>
      <c r="C70">
        <v>8.5000000000000006E-5</v>
      </c>
      <c r="D70">
        <v>88183.967797000005</v>
      </c>
      <c r="E70">
        <v>0</v>
      </c>
      <c r="F70">
        <v>1.5899999999999999E-4</v>
      </c>
      <c r="G70">
        <v>6.0200000000000002E-3</v>
      </c>
      <c r="H70">
        <v>17223.431209999999</v>
      </c>
      <c r="L70">
        <v>7</v>
      </c>
      <c r="M70">
        <v>7.1513999999999994E-2</v>
      </c>
      <c r="N70">
        <v>2.22E-4</v>
      </c>
      <c r="O70">
        <v>94313.799868999995</v>
      </c>
      <c r="P70">
        <v>0</v>
      </c>
      <c r="Q70">
        <v>1.2310000000000001E-3</v>
      </c>
      <c r="R70">
        <v>0.18046499999999999</v>
      </c>
      <c r="S70">
        <v>8373.0291080000006</v>
      </c>
    </row>
    <row r="71" spans="1:19">
      <c r="A71">
        <v>8</v>
      </c>
      <c r="B71">
        <v>6.4899999999999995E-4</v>
      </c>
      <c r="C71">
        <v>8.3999999999999995E-5</v>
      </c>
      <c r="D71">
        <v>88471.527497000003</v>
      </c>
      <c r="E71">
        <v>0</v>
      </c>
      <c r="F71">
        <v>1.3100000000000001E-4</v>
      </c>
      <c r="G71">
        <v>8.1300000000000001E-3</v>
      </c>
      <c r="H71">
        <v>17279.595214000001</v>
      </c>
      <c r="L71">
        <v>3</v>
      </c>
      <c r="M71">
        <v>4.7482999999999997E-2</v>
      </c>
      <c r="N71">
        <v>2.22E-4</v>
      </c>
      <c r="O71">
        <v>93505.422605999993</v>
      </c>
      <c r="P71">
        <v>0</v>
      </c>
      <c r="Q71">
        <v>1.402E-3</v>
      </c>
      <c r="R71">
        <v>9.2709E-2</v>
      </c>
      <c r="S71">
        <v>8301.2626600000003</v>
      </c>
    </row>
    <row r="72" spans="1:19">
      <c r="A72">
        <v>9</v>
      </c>
      <c r="B72">
        <v>6.5600000000000001E-4</v>
      </c>
      <c r="C72">
        <v>8.5000000000000006E-5</v>
      </c>
      <c r="D72">
        <v>87681.308029000007</v>
      </c>
      <c r="E72">
        <v>0</v>
      </c>
      <c r="F72">
        <v>1.35E-4</v>
      </c>
      <c r="G72">
        <v>6.9040000000000004E-3</v>
      </c>
      <c r="H72">
        <v>17125.255474000001</v>
      </c>
      <c r="L72">
        <v>9</v>
      </c>
      <c r="M72">
        <v>7.1854000000000001E-2</v>
      </c>
      <c r="N72">
        <v>2.23E-4</v>
      </c>
      <c r="O72">
        <v>93653.949076999997</v>
      </c>
      <c r="P72">
        <v>0</v>
      </c>
      <c r="Q72">
        <v>1.4840000000000001E-3</v>
      </c>
      <c r="R72">
        <v>0.12359299999999999</v>
      </c>
      <c r="S72">
        <v>8314.4486039999992</v>
      </c>
    </row>
    <row r="73" spans="1:19">
      <c r="A73">
        <v>10</v>
      </c>
      <c r="B73">
        <v>6.5099999999999999E-4</v>
      </c>
      <c r="C73">
        <v>8.5000000000000006E-5</v>
      </c>
      <c r="D73">
        <v>88266.769547999997</v>
      </c>
      <c r="E73">
        <v>0</v>
      </c>
      <c r="F73">
        <v>9.6000000000000002E-5</v>
      </c>
      <c r="G73">
        <v>6.6090000000000003E-3</v>
      </c>
      <c r="H73">
        <v>17239.603426999998</v>
      </c>
      <c r="L73">
        <v>10</v>
      </c>
      <c r="M73">
        <v>5.8618000000000003E-2</v>
      </c>
      <c r="N73">
        <v>2.23E-4</v>
      </c>
      <c r="O73">
        <v>93594.072721000004</v>
      </c>
      <c r="P73">
        <v>0</v>
      </c>
      <c r="Q73">
        <v>1.462E-3</v>
      </c>
      <c r="R73">
        <v>8.4711999999999996E-2</v>
      </c>
      <c r="S73">
        <v>8309.132877</v>
      </c>
    </row>
    <row r="74" spans="1:19">
      <c r="A74" t="s">
        <v>28</v>
      </c>
      <c r="B74">
        <f t="shared" ref="B74:H74" si="8">AVERAGE(B64:B73)</f>
        <v>6.508000000000001E-4</v>
      </c>
      <c r="C74">
        <f t="shared" si="8"/>
        <v>8.4599999999999996E-5</v>
      </c>
      <c r="D74">
        <f t="shared" si="8"/>
        <v>88111.761972799985</v>
      </c>
      <c r="E74">
        <f t="shared" si="8"/>
        <v>0</v>
      </c>
      <c r="F74">
        <f t="shared" si="8"/>
        <v>1.1329999999999999E-4</v>
      </c>
      <c r="G74">
        <f t="shared" si="8"/>
        <v>6.3921999999999989E-3</v>
      </c>
      <c r="H74">
        <f t="shared" si="8"/>
        <v>17209.3285101</v>
      </c>
      <c r="L74" t="s">
        <v>28</v>
      </c>
      <c r="M74">
        <f t="shared" ref="M74:S74" si="9">AVERAGE(M64:M73)</f>
        <v>7.3355099999999979E-2</v>
      </c>
      <c r="N74">
        <f t="shared" si="9"/>
        <v>2.2300000000000003E-4</v>
      </c>
      <c r="O74">
        <f t="shared" si="9"/>
        <v>93781.402425500011</v>
      </c>
      <c r="P74">
        <f t="shared" si="9"/>
        <v>0</v>
      </c>
      <c r="Q74">
        <f t="shared" si="9"/>
        <v>7.6380000000000003E-4</v>
      </c>
      <c r="R74">
        <f t="shared" si="9"/>
        <v>0.1219875</v>
      </c>
      <c r="S74">
        <f t="shared" si="9"/>
        <v>8325.7637097000006</v>
      </c>
    </row>
    <row r="77" spans="1:19">
      <c r="A77" t="s">
        <v>37</v>
      </c>
      <c r="L77" t="s">
        <v>38</v>
      </c>
    </row>
    <row r="78" spans="1:19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L78" t="s">
        <v>17</v>
      </c>
      <c r="M78" t="s">
        <v>18</v>
      </c>
      <c r="N78" t="s">
        <v>19</v>
      </c>
      <c r="O78" t="s">
        <v>20</v>
      </c>
      <c r="P78" t="s">
        <v>21</v>
      </c>
      <c r="Q78" t="s">
        <v>22</v>
      </c>
      <c r="R78" t="s">
        <v>23</v>
      </c>
      <c r="S78" t="s">
        <v>24</v>
      </c>
    </row>
    <row r="79" spans="1:19">
      <c r="A79">
        <v>5</v>
      </c>
      <c r="B79">
        <v>7.7577999999999994E-2</v>
      </c>
      <c r="C79">
        <v>1.2E-4</v>
      </c>
      <c r="D79">
        <v>93530.708022000006</v>
      </c>
      <c r="E79">
        <v>0</v>
      </c>
      <c r="F79">
        <v>1.2400000000000001E-4</v>
      </c>
      <c r="G79">
        <v>0.106975</v>
      </c>
      <c r="H79">
        <v>15223.097008999999</v>
      </c>
      <c r="L79">
        <v>1</v>
      </c>
      <c r="M79">
        <v>8.7488999999999997E-2</v>
      </c>
      <c r="N79">
        <v>2.43E-4</v>
      </c>
      <c r="O79">
        <v>94097.186616000006</v>
      </c>
      <c r="P79">
        <v>0</v>
      </c>
      <c r="Q79">
        <v>1.8000000000000001E-4</v>
      </c>
      <c r="R79">
        <v>0.12356200000000001</v>
      </c>
      <c r="S79">
        <v>7657.6486500000001</v>
      </c>
    </row>
    <row r="80" spans="1:19">
      <c r="A80">
        <v>4</v>
      </c>
      <c r="B80">
        <v>6.7954000000000001E-2</v>
      </c>
      <c r="C80">
        <v>1.2E-4</v>
      </c>
      <c r="D80">
        <v>93501.123682999998</v>
      </c>
      <c r="E80">
        <v>0</v>
      </c>
      <c r="F80">
        <v>1.2400000000000001E-4</v>
      </c>
      <c r="G80">
        <v>9.8371E-2</v>
      </c>
      <c r="H80">
        <v>15218.281849000001</v>
      </c>
      <c r="L80">
        <v>2</v>
      </c>
      <c r="M80">
        <v>9.2571000000000001E-2</v>
      </c>
      <c r="N80">
        <v>2.43E-4</v>
      </c>
      <c r="O80">
        <v>94066.890738999995</v>
      </c>
      <c r="P80">
        <v>0</v>
      </c>
      <c r="Q80">
        <v>1.8699999999999999E-4</v>
      </c>
      <c r="R80">
        <v>0.12868499999999999</v>
      </c>
      <c r="S80">
        <v>7655.1831659999998</v>
      </c>
    </row>
    <row r="81" spans="1:19">
      <c r="A81">
        <v>2</v>
      </c>
      <c r="B81">
        <v>7.7063000000000006E-2</v>
      </c>
      <c r="C81">
        <v>1.2E-4</v>
      </c>
      <c r="D81">
        <v>93538.924767000004</v>
      </c>
      <c r="E81">
        <v>0</v>
      </c>
      <c r="F81">
        <v>1.6100000000000001E-4</v>
      </c>
      <c r="G81">
        <v>0.110209</v>
      </c>
      <c r="H81">
        <v>15224.434370000001</v>
      </c>
      <c r="L81">
        <v>4</v>
      </c>
      <c r="M81">
        <v>8.8382000000000002E-2</v>
      </c>
      <c r="N81">
        <v>2.4499999999999999E-4</v>
      </c>
      <c r="O81">
        <v>93711.070533000006</v>
      </c>
      <c r="P81">
        <v>0</v>
      </c>
      <c r="Q81">
        <v>3.3399999999999999E-4</v>
      </c>
      <c r="R81">
        <v>0.118321</v>
      </c>
      <c r="S81">
        <v>7626.2264429999996</v>
      </c>
    </row>
    <row r="82" spans="1:19">
      <c r="A82">
        <v>1</v>
      </c>
      <c r="B82">
        <v>6.9060999999999997E-2</v>
      </c>
      <c r="C82">
        <v>1.2E-4</v>
      </c>
      <c r="D82">
        <v>93514.862003000002</v>
      </c>
      <c r="E82">
        <v>0</v>
      </c>
      <c r="F82">
        <v>1.45E-4</v>
      </c>
      <c r="G82">
        <v>9.5923999999999995E-2</v>
      </c>
      <c r="H82">
        <v>15220.517904</v>
      </c>
      <c r="L82">
        <v>5</v>
      </c>
      <c r="M82">
        <v>6.0457999999999998E-2</v>
      </c>
      <c r="N82">
        <v>2.4499999999999999E-4</v>
      </c>
      <c r="O82">
        <v>93580.057119999998</v>
      </c>
      <c r="P82">
        <v>0</v>
      </c>
      <c r="Q82">
        <v>2.8800000000000001E-4</v>
      </c>
      <c r="R82">
        <v>8.0739000000000005E-2</v>
      </c>
      <c r="S82">
        <v>7615.5645439999998</v>
      </c>
    </row>
    <row r="83" spans="1:19">
      <c r="A83">
        <v>3</v>
      </c>
      <c r="B83">
        <v>7.1307999999999996E-2</v>
      </c>
      <c r="C83">
        <v>1.2E-4</v>
      </c>
      <c r="D83">
        <v>93563.616007999997</v>
      </c>
      <c r="E83">
        <v>0</v>
      </c>
      <c r="F83">
        <v>1.17E-4</v>
      </c>
      <c r="G83">
        <v>0.100082</v>
      </c>
      <c r="H83">
        <v>15228.453126</v>
      </c>
      <c r="L83">
        <v>3</v>
      </c>
      <c r="M83">
        <v>5.9244999999999999E-2</v>
      </c>
      <c r="N83">
        <v>2.4499999999999999E-4</v>
      </c>
      <c r="O83">
        <v>93570.809947000002</v>
      </c>
      <c r="P83">
        <v>0</v>
      </c>
      <c r="Q83">
        <v>5.1400000000000003E-4</v>
      </c>
      <c r="R83">
        <v>7.5013999999999997E-2</v>
      </c>
      <c r="S83">
        <v>7614.8120070000004</v>
      </c>
    </row>
    <row r="84" spans="1:19">
      <c r="A84">
        <v>8</v>
      </c>
      <c r="B84">
        <v>7.7092999999999995E-2</v>
      </c>
      <c r="C84">
        <v>1.2E-4</v>
      </c>
      <c r="D84">
        <v>93674.698046999998</v>
      </c>
      <c r="E84">
        <v>0</v>
      </c>
      <c r="F84">
        <v>2.2699999999999999E-4</v>
      </c>
      <c r="G84">
        <v>0.10692500000000001</v>
      </c>
      <c r="H84">
        <v>15246.532885000001</v>
      </c>
      <c r="L84">
        <v>6</v>
      </c>
      <c r="M84">
        <v>6.8130999999999997E-2</v>
      </c>
      <c r="N84">
        <v>2.4499999999999999E-4</v>
      </c>
      <c r="O84">
        <v>93610.915458999996</v>
      </c>
      <c r="P84">
        <v>0</v>
      </c>
      <c r="Q84">
        <v>8.4599999999999996E-4</v>
      </c>
      <c r="R84">
        <v>8.6702000000000001E-2</v>
      </c>
      <c r="S84">
        <v>7618.0758020000003</v>
      </c>
    </row>
    <row r="85" spans="1:19">
      <c r="A85">
        <v>9</v>
      </c>
      <c r="B85">
        <v>6.9593000000000002E-2</v>
      </c>
      <c r="C85">
        <v>1.2E-4</v>
      </c>
      <c r="D85">
        <v>93519.309343999994</v>
      </c>
      <c r="E85">
        <v>0</v>
      </c>
      <c r="F85">
        <v>2.5300000000000002E-4</v>
      </c>
      <c r="G85">
        <v>0.101906</v>
      </c>
      <c r="H85">
        <v>15221.241754999999</v>
      </c>
      <c r="L85">
        <v>8</v>
      </c>
      <c r="M85">
        <v>5.8282E-2</v>
      </c>
      <c r="N85">
        <v>2.43E-4</v>
      </c>
      <c r="O85">
        <v>93729.391980999993</v>
      </c>
      <c r="P85">
        <v>0</v>
      </c>
      <c r="Q85">
        <v>1.526E-3</v>
      </c>
      <c r="R85">
        <v>0.10082099999999999</v>
      </c>
      <c r="S85">
        <v>7627.7174459999997</v>
      </c>
    </row>
    <row r="86" spans="1:19">
      <c r="A86">
        <v>6</v>
      </c>
      <c r="B86">
        <v>7.1346000000000007E-2</v>
      </c>
      <c r="C86">
        <v>1.2E-4</v>
      </c>
      <c r="D86">
        <v>93718.58223</v>
      </c>
      <c r="E86">
        <v>0</v>
      </c>
      <c r="F86">
        <v>1.92E-4</v>
      </c>
      <c r="G86">
        <v>0.10012</v>
      </c>
      <c r="H86">
        <v>15253.675493000001</v>
      </c>
      <c r="L86">
        <v>10</v>
      </c>
      <c r="M86">
        <v>4.6383000000000001E-2</v>
      </c>
      <c r="N86">
        <v>2.4399999999999999E-4</v>
      </c>
      <c r="O86">
        <v>93486.722726000007</v>
      </c>
      <c r="P86">
        <v>0</v>
      </c>
      <c r="Q86">
        <v>1.5120000000000001E-3</v>
      </c>
      <c r="R86">
        <v>5.7889000000000003E-2</v>
      </c>
      <c r="S86">
        <v>7607.9689719999997</v>
      </c>
    </row>
    <row r="87" spans="1:19">
      <c r="A87">
        <v>10</v>
      </c>
      <c r="B87">
        <v>7.0215E-2</v>
      </c>
      <c r="C87">
        <v>1.2E-4</v>
      </c>
      <c r="D87">
        <v>93514.681056999994</v>
      </c>
      <c r="E87">
        <v>0</v>
      </c>
      <c r="F87">
        <v>3.3700000000000001E-4</v>
      </c>
      <c r="G87">
        <v>9.5100000000000004E-2</v>
      </c>
      <c r="H87">
        <v>15220.488453</v>
      </c>
      <c r="L87">
        <v>7</v>
      </c>
      <c r="M87">
        <v>4.6889E-2</v>
      </c>
      <c r="N87">
        <v>2.4399999999999999E-4</v>
      </c>
      <c r="O87">
        <v>93476.478659</v>
      </c>
      <c r="P87">
        <v>0</v>
      </c>
      <c r="Q87">
        <v>1.5690000000000001E-3</v>
      </c>
      <c r="R87">
        <v>6.0850000000000001E-2</v>
      </c>
      <c r="S87">
        <v>7607.1353079999999</v>
      </c>
    </row>
    <row r="88" spans="1:19">
      <c r="A88">
        <v>7</v>
      </c>
      <c r="B88">
        <v>7.1797E-2</v>
      </c>
      <c r="C88">
        <v>1.2E-4</v>
      </c>
      <c r="D88">
        <v>93619.157057999997</v>
      </c>
      <c r="E88">
        <v>0</v>
      </c>
      <c r="F88">
        <v>2.4899999999999998E-4</v>
      </c>
      <c r="G88">
        <v>0.102783</v>
      </c>
      <c r="H88">
        <v>15237.493011</v>
      </c>
      <c r="L88">
        <v>9</v>
      </c>
      <c r="M88">
        <v>6.8113999999999994E-2</v>
      </c>
      <c r="N88">
        <v>2.4499999999999999E-4</v>
      </c>
      <c r="O88">
        <v>93545.426735999994</v>
      </c>
      <c r="P88">
        <v>0</v>
      </c>
      <c r="Q88">
        <v>1.56E-3</v>
      </c>
      <c r="R88">
        <v>8.6349999999999996E-2</v>
      </c>
      <c r="S88">
        <v>7612.7463159999998</v>
      </c>
    </row>
    <row r="89" spans="1:19">
      <c r="A89" t="s">
        <v>28</v>
      </c>
      <c r="B89">
        <f t="shared" ref="B89:H89" si="10">AVERAGE(B79:B88)</f>
        <v>7.2300799999999998E-2</v>
      </c>
      <c r="C89">
        <f t="shared" si="10"/>
        <v>1.2000000000000002E-4</v>
      </c>
      <c r="D89">
        <f t="shared" si="10"/>
        <v>93569.566221899979</v>
      </c>
      <c r="E89">
        <f t="shared" si="10"/>
        <v>0</v>
      </c>
      <c r="F89">
        <f t="shared" si="10"/>
        <v>1.9290000000000003E-4</v>
      </c>
      <c r="G89">
        <f t="shared" si="10"/>
        <v>0.10183950000000001</v>
      </c>
      <c r="H89">
        <f t="shared" si="10"/>
        <v>15229.421585500002</v>
      </c>
      <c r="L89" t="s">
        <v>28</v>
      </c>
      <c r="M89">
        <f t="shared" ref="M89:S89" si="11">AVERAGE(M79:M88)</f>
        <v>6.7594399999999999E-2</v>
      </c>
      <c r="N89">
        <f t="shared" si="11"/>
        <v>2.4419999999999997E-4</v>
      </c>
      <c r="O89">
        <f t="shared" si="11"/>
        <v>93687.49505160001</v>
      </c>
      <c r="P89">
        <f t="shared" si="11"/>
        <v>0</v>
      </c>
      <c r="Q89">
        <f t="shared" si="11"/>
        <v>8.516000000000001E-4</v>
      </c>
      <c r="R89">
        <f t="shared" si="11"/>
        <v>9.1893300000000011E-2</v>
      </c>
      <c r="S89">
        <f t="shared" si="11"/>
        <v>7624.307865400001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89"/>
  <sheetViews>
    <sheetView tabSelected="1" workbookViewId="0">
      <selection activeCell="W4" sqref="W4"/>
    </sheetView>
  </sheetViews>
  <sheetFormatPr defaultRowHeight="15"/>
  <sheetData>
    <row r="2" spans="1:26">
      <c r="A2" t="s">
        <v>15</v>
      </c>
      <c r="L2" t="s">
        <v>16</v>
      </c>
    </row>
    <row r="3" spans="1:26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V3" t="s">
        <v>6</v>
      </c>
      <c r="W3" t="s">
        <v>25</v>
      </c>
      <c r="X3" t="s">
        <v>26</v>
      </c>
      <c r="Y3" t="s">
        <v>27</v>
      </c>
      <c r="Z3" t="s">
        <v>21</v>
      </c>
    </row>
    <row r="4" spans="1:26">
      <c r="A4">
        <v>1</v>
      </c>
      <c r="B4">
        <v>1.54E-4</v>
      </c>
      <c r="C4">
        <v>4.6E-5</v>
      </c>
      <c r="D4">
        <v>17579.060453999999</v>
      </c>
      <c r="E4">
        <v>0.05</v>
      </c>
      <c r="F4">
        <v>4.0000000000000003E-5</v>
      </c>
      <c r="G4">
        <v>6.3330000000000001E-3</v>
      </c>
      <c r="H4">
        <v>17167.051223999999</v>
      </c>
      <c r="L4">
        <v>1</v>
      </c>
      <c r="M4">
        <v>5.6059999999999999E-3</v>
      </c>
      <c r="N4">
        <v>3.97E-4</v>
      </c>
      <c r="O4">
        <v>92403.835865000001</v>
      </c>
      <c r="P4">
        <v>0.06</v>
      </c>
      <c r="Q4">
        <v>1.47E-4</v>
      </c>
      <c r="R4">
        <v>1.2444E-2</v>
      </c>
      <c r="S4">
        <v>12891.160137000001</v>
      </c>
      <c r="V4">
        <v>128</v>
      </c>
      <c r="W4">
        <f>B14</f>
        <v>1.5420000000000001E-4</v>
      </c>
      <c r="X4">
        <f>C14</f>
        <v>4.6799999999999999E-5</v>
      </c>
      <c r="Y4">
        <f>D14</f>
        <v>17441.410725599999</v>
      </c>
      <c r="Z4">
        <f>E14</f>
        <v>0.09</v>
      </c>
    </row>
    <row r="5" spans="1:26">
      <c r="A5">
        <v>8</v>
      </c>
      <c r="B5">
        <v>1.54E-4</v>
      </c>
      <c r="C5">
        <v>4.6999999999999997E-5</v>
      </c>
      <c r="D5">
        <v>17487.695948</v>
      </c>
      <c r="E5">
        <v>0.05</v>
      </c>
      <c r="F5">
        <v>4.1E-5</v>
      </c>
      <c r="G5">
        <v>6.332E-3</v>
      </c>
      <c r="H5">
        <v>17077.828074000001</v>
      </c>
      <c r="L5">
        <v>5</v>
      </c>
      <c r="M5">
        <v>5.6059999999999999E-3</v>
      </c>
      <c r="N5">
        <v>3.8900000000000002E-4</v>
      </c>
      <c r="O5">
        <v>92394.897842000006</v>
      </c>
      <c r="P5">
        <v>0.05</v>
      </c>
      <c r="Q5">
        <v>1.4999999999999999E-4</v>
      </c>
      <c r="R5">
        <v>1.3195999999999999E-2</v>
      </c>
      <c r="S5">
        <v>12889.913203</v>
      </c>
      <c r="V5">
        <v>256</v>
      </c>
      <c r="W5">
        <f>B29</f>
        <v>1.6480000000000002E-4</v>
      </c>
      <c r="X5">
        <f>C29</f>
        <v>4.74E-5</v>
      </c>
      <c r="Y5">
        <f>D29</f>
        <v>34998.493380799999</v>
      </c>
      <c r="Z5">
        <f>E29</f>
        <v>6.0000000000000012E-2</v>
      </c>
    </row>
    <row r="6" spans="1:26">
      <c r="A6">
        <v>7</v>
      </c>
      <c r="B6">
        <v>1.54E-4</v>
      </c>
      <c r="C6">
        <v>4.6999999999999997E-5</v>
      </c>
      <c r="D6">
        <v>17432.065742999999</v>
      </c>
      <c r="E6">
        <v>0.1</v>
      </c>
      <c r="F6">
        <v>4.3000000000000002E-5</v>
      </c>
      <c r="G6">
        <v>6.2849999999999998E-3</v>
      </c>
      <c r="H6">
        <v>17023.501702000001</v>
      </c>
      <c r="L6">
        <v>7</v>
      </c>
      <c r="M6">
        <v>5.6620000000000004E-3</v>
      </c>
      <c r="N6">
        <v>3.9399999999999998E-4</v>
      </c>
      <c r="O6">
        <v>92333.648209000006</v>
      </c>
      <c r="P6">
        <v>0.06</v>
      </c>
      <c r="Q6">
        <v>1.5200000000000001E-4</v>
      </c>
      <c r="R6">
        <v>1.3428000000000001E-2</v>
      </c>
      <c r="S6">
        <v>12881.368333</v>
      </c>
      <c r="V6">
        <v>384</v>
      </c>
      <c r="W6">
        <f>B44</f>
        <v>1.819E-4</v>
      </c>
      <c r="X6">
        <f>C44</f>
        <v>4.2999999999999995E-5</v>
      </c>
      <c r="Y6">
        <f>D44</f>
        <v>52334.377150700006</v>
      </c>
      <c r="Z6">
        <f>E44</f>
        <v>7.1000000000000008E-2</v>
      </c>
    </row>
    <row r="7" spans="1:26">
      <c r="A7">
        <v>2</v>
      </c>
      <c r="B7">
        <v>1.55E-4</v>
      </c>
      <c r="C7">
        <v>4.6999999999999997E-5</v>
      </c>
      <c r="D7">
        <v>17372.418752000001</v>
      </c>
      <c r="E7">
        <v>0.1</v>
      </c>
      <c r="F7">
        <v>4.3000000000000002E-5</v>
      </c>
      <c r="G7">
        <v>6.3330000000000001E-3</v>
      </c>
      <c r="H7">
        <v>16965.252687</v>
      </c>
      <c r="L7">
        <v>6</v>
      </c>
      <c r="M7">
        <v>5.6670000000000002E-3</v>
      </c>
      <c r="N7">
        <v>3.9300000000000001E-4</v>
      </c>
      <c r="O7">
        <v>92339.368180000005</v>
      </c>
      <c r="P7">
        <v>0.06</v>
      </c>
      <c r="Q7">
        <v>1.6799999999999999E-4</v>
      </c>
      <c r="R7">
        <v>1.2357E-2</v>
      </c>
      <c r="S7">
        <v>12882.16632</v>
      </c>
      <c r="V7">
        <v>512</v>
      </c>
      <c r="W7">
        <f>B59</f>
        <v>1.8519999999999998E-4</v>
      </c>
      <c r="X7">
        <f>C59</f>
        <v>3.469999999999999E-5</v>
      </c>
      <c r="Y7">
        <f>D59</f>
        <v>69688.371934500014</v>
      </c>
      <c r="Z7">
        <f>E59</f>
        <v>6.4000000000000015E-2</v>
      </c>
    </row>
    <row r="8" spans="1:26">
      <c r="A8">
        <v>5</v>
      </c>
      <c r="B8">
        <v>1.55E-4</v>
      </c>
      <c r="C8">
        <v>4.6999999999999997E-5</v>
      </c>
      <c r="D8">
        <v>17342.804074</v>
      </c>
      <c r="E8">
        <v>0.1</v>
      </c>
      <c r="F8">
        <v>4.6999999999999997E-5</v>
      </c>
      <c r="G8">
        <v>6.2839999999999997E-3</v>
      </c>
      <c r="H8">
        <v>16936.332103000001</v>
      </c>
      <c r="L8">
        <v>4</v>
      </c>
      <c r="M8">
        <v>5.6629999999999996E-3</v>
      </c>
      <c r="N8">
        <v>3.9300000000000001E-4</v>
      </c>
      <c r="O8">
        <v>92330.309519999995</v>
      </c>
      <c r="P8">
        <v>0.06</v>
      </c>
      <c r="Q8">
        <v>1.75E-4</v>
      </c>
      <c r="R8">
        <v>1.2422000000000001E-2</v>
      </c>
      <c r="S8">
        <v>12880.902555999999</v>
      </c>
      <c r="V8">
        <v>640</v>
      </c>
      <c r="W8">
        <f>B74</f>
        <v>1.9709999999999997E-4</v>
      </c>
      <c r="X8">
        <f>C74</f>
        <v>2.5700000000000001E-5</v>
      </c>
      <c r="Y8">
        <f>D74</f>
        <v>87140.479672600006</v>
      </c>
      <c r="Z8">
        <f>E74</f>
        <v>0.10300000000000001</v>
      </c>
    </row>
    <row r="9" spans="1:26">
      <c r="A9">
        <v>4</v>
      </c>
      <c r="B9">
        <v>1.55E-4</v>
      </c>
      <c r="C9">
        <v>4.6999999999999997E-5</v>
      </c>
      <c r="D9">
        <v>17442.502334000001</v>
      </c>
      <c r="E9">
        <v>0.1</v>
      </c>
      <c r="F9">
        <v>4.8000000000000001E-5</v>
      </c>
      <c r="G9">
        <v>6.2779999999999997E-3</v>
      </c>
      <c r="H9">
        <v>17033.693684999998</v>
      </c>
      <c r="L9">
        <v>3</v>
      </c>
      <c r="M9">
        <v>5.6699999999999997E-3</v>
      </c>
      <c r="N9">
        <v>3.9300000000000001E-4</v>
      </c>
      <c r="O9">
        <v>92327.865495999999</v>
      </c>
      <c r="P9">
        <v>0.06</v>
      </c>
      <c r="Q9">
        <v>2.0000000000000001E-4</v>
      </c>
      <c r="R9">
        <v>1.014E-2</v>
      </c>
      <c r="S9">
        <v>12880.561593</v>
      </c>
      <c r="V9">
        <v>768</v>
      </c>
      <c r="W9">
        <f>B89</f>
        <v>4.8852999999999995E-3</v>
      </c>
      <c r="X9">
        <f>C89</f>
        <v>2.006E-4</v>
      </c>
      <c r="Y9">
        <f>D89</f>
        <v>91118.011056499992</v>
      </c>
      <c r="Z9">
        <f>E89</f>
        <v>5.6000000000000008E-2</v>
      </c>
    </row>
    <row r="10" spans="1:26">
      <c r="A10">
        <v>9</v>
      </c>
      <c r="B10">
        <v>1.5300000000000001E-4</v>
      </c>
      <c r="C10">
        <v>4.6999999999999997E-5</v>
      </c>
      <c r="D10">
        <v>17587.701056000002</v>
      </c>
      <c r="E10">
        <v>0.1</v>
      </c>
      <c r="F10">
        <v>4.3000000000000002E-5</v>
      </c>
      <c r="G10">
        <v>6.2810000000000001E-3</v>
      </c>
      <c r="H10">
        <v>17175.489312999998</v>
      </c>
      <c r="L10">
        <v>2</v>
      </c>
      <c r="M10">
        <v>5.6620000000000004E-3</v>
      </c>
      <c r="N10">
        <v>3.8900000000000002E-4</v>
      </c>
      <c r="O10">
        <v>92332.775716999997</v>
      </c>
      <c r="P10">
        <v>0.06</v>
      </c>
      <c r="Q10">
        <v>1.95E-4</v>
      </c>
      <c r="R10">
        <v>1.1214999999999999E-2</v>
      </c>
      <c r="S10">
        <v>12881.246612000001</v>
      </c>
      <c r="V10">
        <v>896</v>
      </c>
      <c r="W10">
        <f>M14</f>
        <v>5.6530999999999994E-3</v>
      </c>
      <c r="X10">
        <f>N14</f>
        <v>3.9250000000000005E-4</v>
      </c>
      <c r="Y10">
        <f>O14</f>
        <v>92349.513983000012</v>
      </c>
      <c r="Z10">
        <f>P14</f>
        <v>5.9000000000000011E-2</v>
      </c>
    </row>
    <row r="11" spans="1:26">
      <c r="A11">
        <v>6</v>
      </c>
      <c r="B11">
        <v>1.5200000000000001E-4</v>
      </c>
      <c r="C11">
        <v>4.6E-5</v>
      </c>
      <c r="D11">
        <v>17502.259620000001</v>
      </c>
      <c r="E11">
        <v>0.1</v>
      </c>
      <c r="F11">
        <v>4.3000000000000002E-5</v>
      </c>
      <c r="G11">
        <v>6.2839999999999997E-3</v>
      </c>
      <c r="H11">
        <v>17092.05041</v>
      </c>
      <c r="L11">
        <v>9</v>
      </c>
      <c r="M11">
        <v>5.666E-3</v>
      </c>
      <c r="N11">
        <v>3.9399999999999998E-4</v>
      </c>
      <c r="O11">
        <v>92340.192913999999</v>
      </c>
      <c r="P11">
        <v>0.06</v>
      </c>
      <c r="Q11">
        <v>2.5599999999999999E-4</v>
      </c>
      <c r="R11">
        <v>1.0845E-2</v>
      </c>
      <c r="S11">
        <v>12882.281376999999</v>
      </c>
      <c r="V11">
        <v>1024</v>
      </c>
      <c r="W11">
        <f>M29</f>
        <v>6.3727000000000002E-3</v>
      </c>
      <c r="X11">
        <f>N29</f>
        <v>5.7340000000000006E-4</v>
      </c>
      <c r="Y11">
        <f>O29</f>
        <v>93249.317132299999</v>
      </c>
      <c r="Z11">
        <f>P29</f>
        <v>0.09</v>
      </c>
    </row>
    <row r="12" spans="1:26">
      <c r="A12">
        <v>3</v>
      </c>
      <c r="B12">
        <v>1.55E-4</v>
      </c>
      <c r="C12">
        <v>4.6999999999999997E-5</v>
      </c>
      <c r="D12">
        <v>17314.947351999999</v>
      </c>
      <c r="E12">
        <v>0.1</v>
      </c>
      <c r="F12">
        <v>4.6E-5</v>
      </c>
      <c r="G12">
        <v>6.3280000000000003E-3</v>
      </c>
      <c r="H12">
        <v>16909.128272999998</v>
      </c>
      <c r="L12">
        <v>10</v>
      </c>
      <c r="M12">
        <v>5.6639999999999998E-3</v>
      </c>
      <c r="N12">
        <v>3.97E-4</v>
      </c>
      <c r="O12">
        <v>92341.662964000003</v>
      </c>
      <c r="P12">
        <v>0.06</v>
      </c>
      <c r="Q12">
        <v>2.9999999999999997E-4</v>
      </c>
      <c r="R12">
        <v>1.2678E-2</v>
      </c>
      <c r="S12">
        <v>12882.486462999999</v>
      </c>
      <c r="V12">
        <v>1152</v>
      </c>
      <c r="W12">
        <f>M44</f>
        <v>7.0524000000000003E-3</v>
      </c>
      <c r="X12">
        <f>N44</f>
        <v>7.2219999999999988E-4</v>
      </c>
      <c r="Y12">
        <f>O44</f>
        <v>94051.6417354</v>
      </c>
      <c r="Z12">
        <f>P44</f>
        <v>3.9999999999999994E-2</v>
      </c>
    </row>
    <row r="13" spans="1:26">
      <c r="A13">
        <v>10</v>
      </c>
      <c r="B13">
        <v>1.55E-4</v>
      </c>
      <c r="C13">
        <v>4.6999999999999997E-5</v>
      </c>
      <c r="D13">
        <v>17352.651923000001</v>
      </c>
      <c r="E13">
        <v>0.1</v>
      </c>
      <c r="F13">
        <v>4.3000000000000002E-5</v>
      </c>
      <c r="G13">
        <v>6.2839999999999997E-3</v>
      </c>
      <c r="H13">
        <v>16945.949143000002</v>
      </c>
      <c r="L13">
        <v>8</v>
      </c>
      <c r="M13">
        <v>5.6649999999999999E-3</v>
      </c>
      <c r="N13">
        <v>3.86E-4</v>
      </c>
      <c r="O13">
        <v>92350.583123000004</v>
      </c>
      <c r="P13">
        <v>0.06</v>
      </c>
      <c r="Q13">
        <v>3.7500000000000001E-4</v>
      </c>
      <c r="R13">
        <v>1.2541999999999999E-2</v>
      </c>
      <c r="S13">
        <v>12883.730904</v>
      </c>
      <c r="V13">
        <v>1280</v>
      </c>
      <c r="W13">
        <f>M59</f>
        <v>8.0151000000000007E-3</v>
      </c>
      <c r="X13">
        <f>N59</f>
        <v>8.6630000000000008E-4</v>
      </c>
      <c r="Y13">
        <f>O59</f>
        <v>94605.045483599984</v>
      </c>
      <c r="Z13">
        <f>P59</f>
        <v>8.199999999999999E-2</v>
      </c>
    </row>
    <row r="14" spans="1:26">
      <c r="A14" t="s">
        <v>28</v>
      </c>
      <c r="B14">
        <f t="shared" ref="B14:H14" si="0">AVERAGE(B4:B13)</f>
        <v>1.5420000000000001E-4</v>
      </c>
      <c r="C14">
        <f t="shared" si="0"/>
        <v>4.6799999999999999E-5</v>
      </c>
      <c r="D14">
        <f t="shared" si="0"/>
        <v>17441.410725599999</v>
      </c>
      <c r="E14">
        <f t="shared" si="0"/>
        <v>0.09</v>
      </c>
      <c r="F14">
        <f t="shared" si="0"/>
        <v>4.3699999999999998E-5</v>
      </c>
      <c r="G14">
        <f t="shared" si="0"/>
        <v>6.3021999999999991E-3</v>
      </c>
      <c r="H14">
        <f t="shared" si="0"/>
        <v>17032.627661400002</v>
      </c>
      <c r="L14" t="s">
        <v>28</v>
      </c>
      <c r="M14">
        <f t="shared" ref="M14:S14" si="1">AVERAGE(M4:M13)</f>
        <v>5.6530999999999994E-3</v>
      </c>
      <c r="N14">
        <f t="shared" si="1"/>
        <v>3.9250000000000005E-4</v>
      </c>
      <c r="O14">
        <f t="shared" si="1"/>
        <v>92349.513983000012</v>
      </c>
      <c r="P14">
        <f t="shared" si="1"/>
        <v>5.9000000000000011E-2</v>
      </c>
      <c r="Q14">
        <f t="shared" si="1"/>
        <v>2.118E-4</v>
      </c>
      <c r="R14">
        <f t="shared" si="1"/>
        <v>1.2126699999999999E-2</v>
      </c>
      <c r="S14">
        <f t="shared" si="1"/>
        <v>12883.5817498</v>
      </c>
      <c r="V14">
        <v>1408</v>
      </c>
      <c r="W14">
        <f>M74</f>
        <v>8.760399999999998E-3</v>
      </c>
      <c r="X14">
        <f>N74</f>
        <v>1.0061E-3</v>
      </c>
      <c r="Y14">
        <f>O74</f>
        <v>95136.348111300002</v>
      </c>
      <c r="Z14">
        <f>P74</f>
        <v>0.27</v>
      </c>
    </row>
    <row r="15" spans="1:26">
      <c r="V15">
        <v>1536</v>
      </c>
      <c r="W15">
        <f>M89</f>
        <v>7.0329999999999993E-3</v>
      </c>
      <c r="X15">
        <f>N89</f>
        <v>9.0839999999999985E-4</v>
      </c>
      <c r="Y15">
        <f>O89</f>
        <v>91852.909458000009</v>
      </c>
      <c r="Z15">
        <f>P89</f>
        <v>2.4E-2</v>
      </c>
    </row>
    <row r="17" spans="1:19">
      <c r="A17" t="s">
        <v>29</v>
      </c>
      <c r="L17" t="s">
        <v>30</v>
      </c>
    </row>
    <row r="18" spans="1:19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L18" t="s">
        <v>17</v>
      </c>
      <c r="M18" t="s">
        <v>18</v>
      </c>
      <c r="N18" t="s">
        <v>19</v>
      </c>
      <c r="O18" t="s">
        <v>20</v>
      </c>
      <c r="P18" t="s">
        <v>21</v>
      </c>
      <c r="Q18" t="s">
        <v>22</v>
      </c>
      <c r="R18" t="s">
        <v>23</v>
      </c>
      <c r="S18" t="s">
        <v>24</v>
      </c>
    </row>
    <row r="19" spans="1:19">
      <c r="A19">
        <v>7</v>
      </c>
      <c r="B19">
        <v>1.6899999999999999E-4</v>
      </c>
      <c r="C19">
        <v>4.8999999999999998E-5</v>
      </c>
      <c r="D19">
        <v>35039.093988000001</v>
      </c>
      <c r="E19">
        <v>0.06</v>
      </c>
      <c r="F19">
        <v>5.7000000000000003E-5</v>
      </c>
      <c r="G19">
        <v>6.5409999999999999E-3</v>
      </c>
      <c r="H19">
        <v>17108.932611</v>
      </c>
      <c r="L19">
        <v>3</v>
      </c>
      <c r="M19">
        <v>6.3090000000000004E-3</v>
      </c>
      <c r="N19">
        <v>5.6599999999999999E-4</v>
      </c>
      <c r="O19">
        <v>93428.951728</v>
      </c>
      <c r="P19">
        <v>0.05</v>
      </c>
      <c r="Q19">
        <v>1.3999999999999999E-4</v>
      </c>
      <c r="R19">
        <v>1.1937E-2</v>
      </c>
      <c r="S19">
        <v>11404.901334</v>
      </c>
    </row>
    <row r="20" spans="1:19">
      <c r="A20">
        <v>1</v>
      </c>
      <c r="B20">
        <v>1.63E-4</v>
      </c>
      <c r="C20">
        <v>4.6999999999999997E-5</v>
      </c>
      <c r="D20">
        <v>35036.593522000003</v>
      </c>
      <c r="E20">
        <v>0.06</v>
      </c>
      <c r="F20">
        <v>5.0000000000000002E-5</v>
      </c>
      <c r="G20">
        <v>6.4939999999999998E-3</v>
      </c>
      <c r="H20">
        <v>17107.711681000001</v>
      </c>
      <c r="L20">
        <v>2</v>
      </c>
      <c r="M20">
        <v>6.3070000000000001E-3</v>
      </c>
      <c r="N20">
        <v>5.7799999999999995E-4</v>
      </c>
      <c r="O20">
        <v>93434.685802000007</v>
      </c>
      <c r="P20">
        <v>0.09</v>
      </c>
      <c r="Q20">
        <v>1.4100000000000001E-4</v>
      </c>
      <c r="R20">
        <v>1.1922E-2</v>
      </c>
      <c r="S20">
        <v>11405.601294</v>
      </c>
    </row>
    <row r="21" spans="1:19">
      <c r="A21">
        <v>8</v>
      </c>
      <c r="B21">
        <v>1.64E-4</v>
      </c>
      <c r="C21">
        <v>4.6999999999999997E-5</v>
      </c>
      <c r="D21">
        <v>35069.779478999997</v>
      </c>
      <c r="E21">
        <v>0.06</v>
      </c>
      <c r="F21">
        <v>5.7000000000000003E-5</v>
      </c>
      <c r="G21">
        <v>6.5409999999999999E-3</v>
      </c>
      <c r="H21">
        <v>17123.915761</v>
      </c>
      <c r="L21">
        <v>10</v>
      </c>
      <c r="M21">
        <v>6.391E-3</v>
      </c>
      <c r="N21">
        <v>5.71E-4</v>
      </c>
      <c r="O21">
        <v>93208.357619000002</v>
      </c>
      <c r="P21">
        <v>0.09</v>
      </c>
      <c r="Q21">
        <v>1.6200000000000001E-4</v>
      </c>
      <c r="R21">
        <v>1.2763999999999999E-2</v>
      </c>
      <c r="S21">
        <v>11377.973341999999</v>
      </c>
    </row>
    <row r="22" spans="1:19">
      <c r="A22">
        <v>5</v>
      </c>
      <c r="B22">
        <v>1.6699999999999999E-4</v>
      </c>
      <c r="C22">
        <v>4.8000000000000001E-5</v>
      </c>
      <c r="D22">
        <v>34764.474145</v>
      </c>
      <c r="E22">
        <v>0.06</v>
      </c>
      <c r="F22">
        <v>5.3999999999999998E-5</v>
      </c>
      <c r="G22">
        <v>6.4949999999999999E-3</v>
      </c>
      <c r="H22">
        <v>16974.840891</v>
      </c>
      <c r="L22">
        <v>8</v>
      </c>
      <c r="M22">
        <v>6.3839999999999999E-3</v>
      </c>
      <c r="N22">
        <v>5.7899999999999998E-4</v>
      </c>
      <c r="O22">
        <v>93198.487695999997</v>
      </c>
      <c r="P22">
        <v>0.09</v>
      </c>
      <c r="Q22">
        <v>1.7000000000000001E-4</v>
      </c>
      <c r="R22">
        <v>1.0933999999999999E-2</v>
      </c>
      <c r="S22">
        <v>11376.768518000001</v>
      </c>
    </row>
    <row r="23" spans="1:19">
      <c r="A23">
        <v>4</v>
      </c>
      <c r="B23">
        <v>1.66E-4</v>
      </c>
      <c r="C23">
        <v>4.8000000000000001E-5</v>
      </c>
      <c r="D23">
        <v>34932.689285</v>
      </c>
      <c r="E23">
        <v>0.06</v>
      </c>
      <c r="F23">
        <v>5.0000000000000002E-5</v>
      </c>
      <c r="G23">
        <v>6.5459999999999997E-3</v>
      </c>
      <c r="H23">
        <v>17056.977190000001</v>
      </c>
      <c r="L23">
        <v>9</v>
      </c>
      <c r="M23">
        <v>6.3889999999999997E-3</v>
      </c>
      <c r="N23">
        <v>5.8E-4</v>
      </c>
      <c r="O23">
        <v>93198.221183000001</v>
      </c>
      <c r="P23">
        <v>0.1</v>
      </c>
      <c r="Q23">
        <v>1.9100000000000001E-4</v>
      </c>
      <c r="R23">
        <v>1.0396000000000001E-2</v>
      </c>
      <c r="S23">
        <v>11376.735984000001</v>
      </c>
    </row>
    <row r="24" spans="1:19">
      <c r="A24">
        <v>3</v>
      </c>
      <c r="B24">
        <v>1.5799999999999999E-4</v>
      </c>
      <c r="C24">
        <v>4.5000000000000003E-5</v>
      </c>
      <c r="D24">
        <v>35017.575621000004</v>
      </c>
      <c r="E24">
        <v>0.06</v>
      </c>
      <c r="F24">
        <v>4.6999999999999997E-5</v>
      </c>
      <c r="G24">
        <v>6.4949999999999999E-3</v>
      </c>
      <c r="H24">
        <v>17098.425596000001</v>
      </c>
      <c r="L24">
        <v>4</v>
      </c>
      <c r="M24">
        <v>6.3879999999999996E-3</v>
      </c>
      <c r="N24">
        <v>5.7300000000000005E-4</v>
      </c>
      <c r="O24">
        <v>93202.829635999995</v>
      </c>
      <c r="P24">
        <v>0.09</v>
      </c>
      <c r="Q24">
        <v>1.74E-4</v>
      </c>
      <c r="R24">
        <v>1.1289E-2</v>
      </c>
      <c r="S24">
        <v>11377.29854</v>
      </c>
    </row>
    <row r="25" spans="1:19">
      <c r="A25">
        <v>2</v>
      </c>
      <c r="B25">
        <v>1.6699999999999999E-4</v>
      </c>
      <c r="C25">
        <v>4.8000000000000001E-5</v>
      </c>
      <c r="D25">
        <v>34827.465317000002</v>
      </c>
      <c r="E25">
        <v>0.06</v>
      </c>
      <c r="F25">
        <v>5.1999999999999997E-5</v>
      </c>
      <c r="G25">
        <v>6.496E-3</v>
      </c>
      <c r="H25">
        <v>17005.598299000001</v>
      </c>
      <c r="L25">
        <v>6</v>
      </c>
      <c r="M25">
        <v>6.3920000000000001E-3</v>
      </c>
      <c r="N25">
        <v>5.7600000000000001E-4</v>
      </c>
      <c r="O25">
        <v>93194.621499999994</v>
      </c>
      <c r="P25">
        <v>0.1</v>
      </c>
      <c r="Q25">
        <v>2.14E-4</v>
      </c>
      <c r="R25">
        <v>1.4001E-2</v>
      </c>
      <c r="S25">
        <v>11376.29657</v>
      </c>
    </row>
    <row r="26" spans="1:19">
      <c r="A26">
        <v>9</v>
      </c>
      <c r="B26">
        <v>1.66E-4</v>
      </c>
      <c r="C26">
        <v>4.8000000000000001E-5</v>
      </c>
      <c r="D26">
        <v>34855.172568000002</v>
      </c>
      <c r="E26">
        <v>0.06</v>
      </c>
      <c r="F26">
        <v>5.0000000000000002E-5</v>
      </c>
      <c r="G26">
        <v>6.5409999999999999E-3</v>
      </c>
      <c r="H26">
        <v>17019.127230999999</v>
      </c>
      <c r="L26">
        <v>5</v>
      </c>
      <c r="M26">
        <v>6.3920000000000001E-3</v>
      </c>
      <c r="N26">
        <v>5.6899999999999995E-4</v>
      </c>
      <c r="O26">
        <v>93201.709212999995</v>
      </c>
      <c r="P26">
        <v>0.1</v>
      </c>
      <c r="Q26">
        <v>2.2699999999999999E-4</v>
      </c>
      <c r="R26">
        <v>1.4012999999999999E-2</v>
      </c>
      <c r="S26">
        <v>11377.161769</v>
      </c>
    </row>
    <row r="27" spans="1:19">
      <c r="A27">
        <v>6</v>
      </c>
      <c r="B27">
        <v>1.6699999999999999E-4</v>
      </c>
      <c r="C27">
        <v>4.8000000000000001E-5</v>
      </c>
      <c r="D27">
        <v>35142.673570999999</v>
      </c>
      <c r="E27">
        <v>0.06</v>
      </c>
      <c r="F27">
        <v>5.5000000000000002E-5</v>
      </c>
      <c r="G27">
        <v>6.5420000000000001E-3</v>
      </c>
      <c r="H27">
        <v>17159.508580000002</v>
      </c>
      <c r="L27">
        <v>7</v>
      </c>
      <c r="M27">
        <v>6.3870000000000003E-3</v>
      </c>
      <c r="N27">
        <v>5.71E-4</v>
      </c>
      <c r="O27">
        <v>93221.528804000001</v>
      </c>
      <c r="P27">
        <v>0.1</v>
      </c>
      <c r="Q27">
        <v>3.6400000000000001E-4</v>
      </c>
      <c r="R27">
        <v>1.1983000000000001E-2</v>
      </c>
      <c r="S27">
        <v>11379.581152999999</v>
      </c>
    </row>
    <row r="28" spans="1:19">
      <c r="A28">
        <v>10</v>
      </c>
      <c r="B28">
        <v>1.6100000000000001E-4</v>
      </c>
      <c r="C28">
        <v>4.6E-5</v>
      </c>
      <c r="D28">
        <v>35299.416312000001</v>
      </c>
      <c r="E28">
        <v>0.06</v>
      </c>
      <c r="F28">
        <v>4.6E-5</v>
      </c>
      <c r="G28">
        <v>6.5459999999999997E-3</v>
      </c>
      <c r="H28">
        <v>17236.043120999999</v>
      </c>
      <c r="L28">
        <v>1</v>
      </c>
      <c r="M28">
        <v>6.3879999999999996E-3</v>
      </c>
      <c r="N28">
        <v>5.71E-4</v>
      </c>
      <c r="O28">
        <v>93203.778141999996</v>
      </c>
      <c r="P28">
        <v>0.09</v>
      </c>
      <c r="Q28">
        <v>3.0899999999999998E-4</v>
      </c>
      <c r="R28">
        <v>1.1427E-2</v>
      </c>
      <c r="S28">
        <v>11377.414323999999</v>
      </c>
    </row>
    <row r="29" spans="1:19">
      <c r="A29" t="s">
        <v>28</v>
      </c>
      <c r="B29">
        <f t="shared" ref="B29:H29" si="2">AVERAGE(B19:B28)</f>
        <v>1.6480000000000002E-4</v>
      </c>
      <c r="C29">
        <f t="shared" si="2"/>
        <v>4.74E-5</v>
      </c>
      <c r="D29">
        <f t="shared" si="2"/>
        <v>34998.493380799999</v>
      </c>
      <c r="E29">
        <f t="shared" si="2"/>
        <v>6.0000000000000012E-2</v>
      </c>
      <c r="F29">
        <f t="shared" si="2"/>
        <v>5.1799999999999999E-5</v>
      </c>
      <c r="G29">
        <f t="shared" si="2"/>
        <v>6.5237000000000003E-3</v>
      </c>
      <c r="H29">
        <f t="shared" si="2"/>
        <v>17089.108096100001</v>
      </c>
      <c r="L29" t="s">
        <v>28</v>
      </c>
      <c r="M29">
        <f t="shared" ref="M29:S29" si="3">AVERAGE(M19:M28)</f>
        <v>6.3727000000000002E-3</v>
      </c>
      <c r="N29">
        <f t="shared" si="3"/>
        <v>5.7340000000000006E-4</v>
      </c>
      <c r="O29">
        <f t="shared" si="3"/>
        <v>93249.317132299999</v>
      </c>
      <c r="P29">
        <f t="shared" si="3"/>
        <v>0.09</v>
      </c>
      <c r="Q29">
        <f t="shared" si="3"/>
        <v>2.0920000000000002E-4</v>
      </c>
      <c r="R29">
        <f t="shared" si="3"/>
        <v>1.20666E-2</v>
      </c>
      <c r="S29">
        <f t="shared" si="3"/>
        <v>11382.9732828</v>
      </c>
    </row>
    <row r="32" spans="1:19">
      <c r="A32" t="s">
        <v>31</v>
      </c>
      <c r="L32" t="s">
        <v>32</v>
      </c>
    </row>
    <row r="33" spans="1:19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L33" t="s">
        <v>17</v>
      </c>
      <c r="M33" t="s">
        <v>18</v>
      </c>
      <c r="N33" t="s">
        <v>19</v>
      </c>
      <c r="O33" t="s">
        <v>20</v>
      </c>
      <c r="P33" t="s">
        <v>21</v>
      </c>
      <c r="Q33" t="s">
        <v>22</v>
      </c>
      <c r="R33" t="s">
        <v>23</v>
      </c>
      <c r="S33" t="s">
        <v>24</v>
      </c>
    </row>
    <row r="34" spans="1:19">
      <c r="A34">
        <v>4</v>
      </c>
      <c r="B34">
        <v>1.7899999999999999E-4</v>
      </c>
      <c r="C34">
        <v>4.1999999999999998E-5</v>
      </c>
      <c r="D34">
        <v>52781.579567000001</v>
      </c>
      <c r="E34">
        <v>7.0000000000000007E-2</v>
      </c>
      <c r="F34">
        <v>7.2999999999999999E-5</v>
      </c>
      <c r="G34">
        <v>7.5579999999999996E-3</v>
      </c>
      <c r="H34">
        <v>17181.503765000001</v>
      </c>
      <c r="L34">
        <v>4</v>
      </c>
      <c r="M34">
        <v>6.9760000000000004E-3</v>
      </c>
      <c r="N34">
        <v>7.0100000000000002E-4</v>
      </c>
      <c r="O34">
        <v>94327.813574</v>
      </c>
      <c r="P34">
        <v>0.04</v>
      </c>
      <c r="Q34">
        <v>9.0000000000000006E-5</v>
      </c>
      <c r="R34">
        <v>1.0322E-2</v>
      </c>
      <c r="S34">
        <v>10235.222827</v>
      </c>
    </row>
    <row r="35" spans="1:19">
      <c r="A35">
        <v>5</v>
      </c>
      <c r="B35">
        <v>1.83E-4</v>
      </c>
      <c r="C35">
        <v>4.3999999999999999E-5</v>
      </c>
      <c r="D35">
        <v>52210.203785999998</v>
      </c>
      <c r="E35">
        <v>7.0000000000000007E-2</v>
      </c>
      <c r="F35">
        <v>6.7999999999999999E-5</v>
      </c>
      <c r="G35">
        <v>7.607E-3</v>
      </c>
      <c r="H35">
        <v>16995.509044999999</v>
      </c>
      <c r="L35">
        <v>6</v>
      </c>
      <c r="M35">
        <v>6.9709999999999998E-3</v>
      </c>
      <c r="N35">
        <v>7.3099999999999999E-4</v>
      </c>
      <c r="O35">
        <v>94343.418630999993</v>
      </c>
      <c r="P35">
        <v>0.04</v>
      </c>
      <c r="Q35">
        <v>8.6000000000000003E-5</v>
      </c>
      <c r="R35">
        <v>1.0540000000000001E-2</v>
      </c>
      <c r="S35">
        <v>10236.916084</v>
      </c>
    </row>
    <row r="36" spans="1:19">
      <c r="A36">
        <v>2</v>
      </c>
      <c r="B36">
        <v>1.8100000000000001E-4</v>
      </c>
      <c r="C36">
        <v>4.3000000000000002E-5</v>
      </c>
      <c r="D36">
        <v>52220.74181</v>
      </c>
      <c r="E36">
        <v>7.0000000000000007E-2</v>
      </c>
      <c r="F36">
        <v>7.7999999999999999E-5</v>
      </c>
      <c r="G36">
        <v>7.5589999999999997E-3</v>
      </c>
      <c r="H36">
        <v>16998.939391</v>
      </c>
      <c r="L36">
        <v>10</v>
      </c>
      <c r="M36">
        <v>7.0660000000000002E-3</v>
      </c>
      <c r="N36">
        <v>7.3700000000000002E-4</v>
      </c>
      <c r="O36">
        <v>93976.682323999994</v>
      </c>
      <c r="P36">
        <v>0.04</v>
      </c>
      <c r="Q36">
        <v>1.2E-4</v>
      </c>
      <c r="R36">
        <v>1.0187999999999999E-2</v>
      </c>
      <c r="S36">
        <v>10197.122648</v>
      </c>
    </row>
    <row r="37" spans="1:19">
      <c r="A37">
        <v>8</v>
      </c>
      <c r="B37">
        <v>1.8000000000000001E-4</v>
      </c>
      <c r="C37">
        <v>4.1999999999999998E-5</v>
      </c>
      <c r="D37">
        <v>52523.969015000002</v>
      </c>
      <c r="E37">
        <v>7.0000000000000007E-2</v>
      </c>
      <c r="F37">
        <v>7.7000000000000001E-5</v>
      </c>
      <c r="G37">
        <v>7.5589999999999997E-3</v>
      </c>
      <c r="H37">
        <v>17097.646164000002</v>
      </c>
      <c r="L37">
        <v>1</v>
      </c>
      <c r="M37">
        <v>7.0749999999999997E-3</v>
      </c>
      <c r="N37">
        <v>7.2000000000000005E-4</v>
      </c>
      <c r="O37">
        <v>93972.695743999997</v>
      </c>
      <c r="P37">
        <v>0.04</v>
      </c>
      <c r="Q37">
        <v>1.2E-4</v>
      </c>
      <c r="R37">
        <v>1.3808000000000001E-2</v>
      </c>
      <c r="S37">
        <v>10196.690076000001</v>
      </c>
    </row>
    <row r="38" spans="1:19">
      <c r="A38">
        <v>1</v>
      </c>
      <c r="B38">
        <v>1.7799999999999999E-4</v>
      </c>
      <c r="C38">
        <v>4.1E-5</v>
      </c>
      <c r="D38">
        <v>52786.371310000002</v>
      </c>
      <c r="E38">
        <v>7.0000000000000007E-2</v>
      </c>
      <c r="F38">
        <v>7.2000000000000002E-5</v>
      </c>
      <c r="G38">
        <v>7.5570000000000003E-3</v>
      </c>
      <c r="H38">
        <v>17183.063577000001</v>
      </c>
      <c r="L38">
        <v>3</v>
      </c>
      <c r="M38">
        <v>7.064E-3</v>
      </c>
      <c r="N38">
        <v>7.3099999999999999E-4</v>
      </c>
      <c r="O38">
        <v>93975.490034000002</v>
      </c>
      <c r="P38">
        <v>0.04</v>
      </c>
      <c r="Q38">
        <v>1.12E-4</v>
      </c>
      <c r="R38">
        <v>1.2869999999999999E-2</v>
      </c>
      <c r="S38">
        <v>10196.993275999999</v>
      </c>
    </row>
    <row r="39" spans="1:19">
      <c r="A39">
        <v>6</v>
      </c>
      <c r="B39">
        <v>1.8200000000000001E-4</v>
      </c>
      <c r="C39">
        <v>4.3000000000000002E-5</v>
      </c>
      <c r="D39">
        <v>52230.951654999997</v>
      </c>
      <c r="E39">
        <v>7.0000000000000007E-2</v>
      </c>
      <c r="F39">
        <v>7.4999999999999993E-5</v>
      </c>
      <c r="G39">
        <v>7.5620000000000001E-3</v>
      </c>
      <c r="H39">
        <v>17002.262908000001</v>
      </c>
      <c r="L39">
        <v>8</v>
      </c>
      <c r="M39">
        <v>7.077E-3</v>
      </c>
      <c r="N39">
        <v>7.0399999999999998E-4</v>
      </c>
      <c r="O39">
        <v>93976.500073000003</v>
      </c>
      <c r="P39">
        <v>0.04</v>
      </c>
      <c r="Q39">
        <v>2.04E-4</v>
      </c>
      <c r="R39">
        <v>1.1114000000000001E-2</v>
      </c>
      <c r="S39">
        <v>10197.102871999999</v>
      </c>
    </row>
    <row r="40" spans="1:19">
      <c r="A40">
        <v>7</v>
      </c>
      <c r="B40">
        <v>1.84E-4</v>
      </c>
      <c r="C40">
        <v>4.3999999999999999E-5</v>
      </c>
      <c r="D40">
        <v>52298.453587999997</v>
      </c>
      <c r="E40">
        <v>7.0000000000000007E-2</v>
      </c>
      <c r="F40">
        <v>6.8999999999999997E-5</v>
      </c>
      <c r="G40">
        <v>7.6090000000000003E-3</v>
      </c>
      <c r="H40">
        <v>17024.236194000001</v>
      </c>
      <c r="L40">
        <v>2</v>
      </c>
      <c r="M40">
        <v>7.0740000000000004E-3</v>
      </c>
      <c r="N40">
        <v>7.2400000000000003E-4</v>
      </c>
      <c r="O40">
        <v>93981.998814000006</v>
      </c>
      <c r="P40">
        <v>0.04</v>
      </c>
      <c r="Q40">
        <v>3.3199999999999999E-4</v>
      </c>
      <c r="R40">
        <v>1.0130999999999999E-2</v>
      </c>
      <c r="S40">
        <v>10197.699524</v>
      </c>
    </row>
    <row r="41" spans="1:19">
      <c r="A41">
        <v>3</v>
      </c>
      <c r="B41">
        <v>1.84E-4</v>
      </c>
      <c r="C41">
        <v>4.3999999999999999E-5</v>
      </c>
      <c r="D41">
        <v>52116.626214999997</v>
      </c>
      <c r="E41">
        <v>7.0000000000000007E-2</v>
      </c>
      <c r="F41">
        <v>6.9999999999999994E-5</v>
      </c>
      <c r="G41">
        <v>7.5589999999999997E-3</v>
      </c>
      <c r="H41">
        <v>16965.047596</v>
      </c>
      <c r="L41">
        <v>7</v>
      </c>
      <c r="M41">
        <v>7.0730000000000003E-3</v>
      </c>
      <c r="N41">
        <v>7.3399999999999995E-4</v>
      </c>
      <c r="O41">
        <v>93976.865802</v>
      </c>
      <c r="P41">
        <v>0.04</v>
      </c>
      <c r="Q41">
        <v>2.4399999999999999E-4</v>
      </c>
      <c r="R41">
        <v>1.0919E-2</v>
      </c>
      <c r="S41">
        <v>10197.142556999999</v>
      </c>
    </row>
    <row r="42" spans="1:19">
      <c r="A42">
        <v>9</v>
      </c>
      <c r="B42">
        <v>1.85E-4</v>
      </c>
      <c r="C42">
        <v>4.3999999999999999E-5</v>
      </c>
      <c r="D42">
        <v>51940.714103999999</v>
      </c>
      <c r="E42">
        <v>7.0000000000000007E-2</v>
      </c>
      <c r="F42">
        <v>7.1000000000000005E-5</v>
      </c>
      <c r="G42">
        <v>7.6109999999999997E-3</v>
      </c>
      <c r="H42">
        <v>16907.784539</v>
      </c>
      <c r="L42">
        <v>9</v>
      </c>
      <c r="M42">
        <v>7.0689999999999998E-3</v>
      </c>
      <c r="N42">
        <v>7.3099999999999999E-4</v>
      </c>
      <c r="O42">
        <v>93993.920293999996</v>
      </c>
      <c r="P42">
        <v>0.04</v>
      </c>
      <c r="Q42">
        <v>4.0499999999999998E-4</v>
      </c>
      <c r="R42">
        <v>1.0902E-2</v>
      </c>
      <c r="S42">
        <v>10198.993087000001</v>
      </c>
    </row>
    <row r="43" spans="1:19">
      <c r="A43">
        <v>10</v>
      </c>
      <c r="B43">
        <v>1.83E-4</v>
      </c>
      <c r="C43">
        <v>4.3000000000000002E-5</v>
      </c>
      <c r="D43">
        <v>52234.160456999998</v>
      </c>
      <c r="E43">
        <v>0.08</v>
      </c>
      <c r="F43">
        <v>7.2000000000000002E-5</v>
      </c>
      <c r="G43">
        <v>7.5579999999999996E-3</v>
      </c>
      <c r="H43">
        <v>17003.30744</v>
      </c>
      <c r="L43">
        <v>5</v>
      </c>
      <c r="M43">
        <v>7.0790000000000002E-3</v>
      </c>
      <c r="N43">
        <v>7.0899999999999999E-4</v>
      </c>
      <c r="O43">
        <v>93991.032063999999</v>
      </c>
      <c r="P43">
        <v>0.04</v>
      </c>
      <c r="Q43">
        <v>4.17E-4</v>
      </c>
      <c r="R43">
        <v>1.3322000000000001E-2</v>
      </c>
      <c r="S43">
        <v>10198.679694</v>
      </c>
    </row>
    <row r="44" spans="1:19">
      <c r="A44" t="s">
        <v>28</v>
      </c>
      <c r="B44">
        <f t="shared" ref="B44:H44" si="4">AVERAGE(B34:B43)</f>
        <v>1.819E-4</v>
      </c>
      <c r="C44">
        <f t="shared" si="4"/>
        <v>4.2999999999999995E-5</v>
      </c>
      <c r="D44">
        <f t="shared" si="4"/>
        <v>52334.377150700006</v>
      </c>
      <c r="E44">
        <f t="shared" si="4"/>
        <v>7.1000000000000008E-2</v>
      </c>
      <c r="F44">
        <f t="shared" si="4"/>
        <v>7.25E-5</v>
      </c>
      <c r="G44">
        <f t="shared" si="4"/>
        <v>7.5738999999999989E-3</v>
      </c>
      <c r="H44">
        <f t="shared" si="4"/>
        <v>17035.930061899999</v>
      </c>
      <c r="L44" t="s">
        <v>28</v>
      </c>
      <c r="M44">
        <f t="shared" ref="M44:S44" si="5">AVERAGE(M34:M43)</f>
        <v>7.0524000000000003E-3</v>
      </c>
      <c r="N44">
        <f t="shared" si="5"/>
        <v>7.2219999999999988E-4</v>
      </c>
      <c r="O44">
        <f t="shared" si="5"/>
        <v>94051.6417354</v>
      </c>
      <c r="P44">
        <f t="shared" si="5"/>
        <v>3.9999999999999994E-2</v>
      </c>
      <c r="Q44">
        <f t="shared" si="5"/>
        <v>2.13E-4</v>
      </c>
      <c r="R44">
        <f t="shared" si="5"/>
        <v>1.1411599999999999E-2</v>
      </c>
      <c r="S44">
        <f t="shared" si="5"/>
        <v>10205.2562645</v>
      </c>
    </row>
    <row r="47" spans="1:19">
      <c r="A47" t="s">
        <v>33</v>
      </c>
      <c r="L47" t="s">
        <v>34</v>
      </c>
    </row>
    <row r="48" spans="1:19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L48" t="s">
        <v>17</v>
      </c>
      <c r="M48" t="s">
        <v>18</v>
      </c>
      <c r="N48" t="s">
        <v>19</v>
      </c>
      <c r="O48" t="s">
        <v>20</v>
      </c>
      <c r="P48" t="s">
        <v>21</v>
      </c>
      <c r="Q48" t="s">
        <v>22</v>
      </c>
      <c r="R48" t="s">
        <v>23</v>
      </c>
      <c r="S48" t="s">
        <v>24</v>
      </c>
    </row>
    <row r="49" spans="1:19">
      <c r="A49">
        <v>1</v>
      </c>
      <c r="B49">
        <v>1.84E-4</v>
      </c>
      <c r="C49">
        <v>3.4999999999999997E-5</v>
      </c>
      <c r="D49">
        <v>69664.982839000004</v>
      </c>
      <c r="E49">
        <v>0.06</v>
      </c>
      <c r="F49">
        <v>1E-4</v>
      </c>
      <c r="G49">
        <v>6.9639999999999997E-3</v>
      </c>
      <c r="H49">
        <v>17008.052451</v>
      </c>
      <c r="L49">
        <v>1</v>
      </c>
      <c r="M49">
        <v>7.9139999999999992E-3</v>
      </c>
      <c r="N49">
        <v>8.5400000000000005E-4</v>
      </c>
      <c r="O49">
        <v>95063.644440999997</v>
      </c>
      <c r="P49">
        <v>7.0000000000000007E-2</v>
      </c>
      <c r="Q49">
        <v>1.1400000000000001E-4</v>
      </c>
      <c r="R49">
        <v>1.353E-2</v>
      </c>
      <c r="S49">
        <v>9283.5590269999993</v>
      </c>
    </row>
    <row r="50" spans="1:19">
      <c r="A50">
        <v>5</v>
      </c>
      <c r="B50">
        <v>1.9000000000000001E-4</v>
      </c>
      <c r="C50">
        <v>3.4999999999999997E-5</v>
      </c>
      <c r="D50">
        <v>69490.093126000007</v>
      </c>
      <c r="E50">
        <v>0.06</v>
      </c>
      <c r="F50">
        <v>1.01E-4</v>
      </c>
      <c r="G50">
        <v>6.9649999999999998E-3</v>
      </c>
      <c r="H50">
        <v>16965.354767000001</v>
      </c>
      <c r="L50">
        <v>4</v>
      </c>
      <c r="M50">
        <v>7.9179999999999997E-3</v>
      </c>
      <c r="N50">
        <v>8.61E-4</v>
      </c>
      <c r="O50">
        <v>95048.584893000007</v>
      </c>
      <c r="P50">
        <v>0.08</v>
      </c>
      <c r="Q50">
        <v>1.25E-4</v>
      </c>
      <c r="R50">
        <v>1.4545000000000001E-2</v>
      </c>
      <c r="S50">
        <v>9282.0883680000006</v>
      </c>
    </row>
    <row r="51" spans="1:19">
      <c r="A51">
        <v>8</v>
      </c>
      <c r="B51">
        <v>1.8100000000000001E-4</v>
      </c>
      <c r="C51">
        <v>3.4E-5</v>
      </c>
      <c r="D51">
        <v>70057.452508000002</v>
      </c>
      <c r="E51">
        <v>0.06</v>
      </c>
      <c r="F51">
        <v>9.8999999999999994E-5</v>
      </c>
      <c r="G51">
        <v>6.9690000000000004E-3</v>
      </c>
      <c r="H51">
        <v>17103.870241000001</v>
      </c>
      <c r="L51">
        <v>7</v>
      </c>
      <c r="M51">
        <v>8.0400000000000003E-3</v>
      </c>
      <c r="N51">
        <v>8.7200000000000005E-4</v>
      </c>
      <c r="O51">
        <v>94495.219127999997</v>
      </c>
      <c r="P51">
        <v>0.08</v>
      </c>
      <c r="Q51">
        <v>2.2699999999999999E-4</v>
      </c>
      <c r="R51">
        <v>1.355E-2</v>
      </c>
      <c r="S51">
        <v>9228.0487429999994</v>
      </c>
    </row>
    <row r="52" spans="1:19">
      <c r="A52">
        <v>4</v>
      </c>
      <c r="B52">
        <v>1.8699999999999999E-4</v>
      </c>
      <c r="C52">
        <v>3.4999999999999997E-5</v>
      </c>
      <c r="D52">
        <v>69734.532496</v>
      </c>
      <c r="E52">
        <v>0.06</v>
      </c>
      <c r="F52">
        <v>1.01E-4</v>
      </c>
      <c r="G52">
        <v>7.0130000000000001E-3</v>
      </c>
      <c r="H52">
        <v>17025.032348000001</v>
      </c>
      <c r="L52">
        <v>8</v>
      </c>
      <c r="M52">
        <v>8.0370000000000007E-3</v>
      </c>
      <c r="N52">
        <v>8.6499999999999999E-4</v>
      </c>
      <c r="O52">
        <v>94496.682067999995</v>
      </c>
      <c r="P52">
        <v>0.08</v>
      </c>
      <c r="Q52">
        <v>2.5300000000000002E-4</v>
      </c>
      <c r="R52">
        <v>1.4023000000000001E-2</v>
      </c>
      <c r="S52">
        <v>9228.1916079999992</v>
      </c>
    </row>
    <row r="53" spans="1:19">
      <c r="A53">
        <v>6</v>
      </c>
      <c r="B53">
        <v>1.8200000000000001E-4</v>
      </c>
      <c r="C53">
        <v>3.4E-5</v>
      </c>
      <c r="D53">
        <v>69945.759760000001</v>
      </c>
      <c r="E53">
        <v>7.0000000000000007E-2</v>
      </c>
      <c r="F53">
        <v>9.7999999999999997E-5</v>
      </c>
      <c r="G53">
        <v>6.9680000000000002E-3</v>
      </c>
      <c r="H53">
        <v>17076.601503999998</v>
      </c>
      <c r="L53">
        <v>10</v>
      </c>
      <c r="M53">
        <v>8.0420000000000005E-3</v>
      </c>
      <c r="N53">
        <v>8.6499999999999999E-4</v>
      </c>
      <c r="O53">
        <v>94490.297376000002</v>
      </c>
      <c r="P53">
        <v>0.08</v>
      </c>
      <c r="Q53">
        <v>2.7300000000000002E-4</v>
      </c>
      <c r="R53">
        <v>1.495E-2</v>
      </c>
      <c r="S53">
        <v>9227.5681029999996</v>
      </c>
    </row>
    <row r="54" spans="1:19">
      <c r="A54">
        <v>9</v>
      </c>
      <c r="B54">
        <v>1.8100000000000001E-4</v>
      </c>
      <c r="C54">
        <v>3.4E-5</v>
      </c>
      <c r="D54">
        <v>70131.309412999995</v>
      </c>
      <c r="E54">
        <v>7.0000000000000007E-2</v>
      </c>
      <c r="F54">
        <v>9.7999999999999997E-5</v>
      </c>
      <c r="G54">
        <v>6.9690000000000004E-3</v>
      </c>
      <c r="H54">
        <v>17121.901711999999</v>
      </c>
      <c r="L54">
        <v>6</v>
      </c>
      <c r="M54">
        <v>8.0400000000000003E-3</v>
      </c>
      <c r="N54">
        <v>8.6300000000000005E-4</v>
      </c>
      <c r="O54">
        <v>94500.763651999994</v>
      </c>
      <c r="P54">
        <v>0.09</v>
      </c>
      <c r="Q54">
        <v>3.8499999999999998E-4</v>
      </c>
      <c r="R54">
        <v>1.4293999999999999E-2</v>
      </c>
      <c r="S54">
        <v>9228.5902000000006</v>
      </c>
    </row>
    <row r="55" spans="1:19">
      <c r="A55">
        <v>3</v>
      </c>
      <c r="B55">
        <v>1.84E-4</v>
      </c>
      <c r="C55">
        <v>3.4999999999999997E-5</v>
      </c>
      <c r="D55">
        <v>69686.922795999999</v>
      </c>
      <c r="E55">
        <v>0.06</v>
      </c>
      <c r="F55">
        <v>9.8999999999999994E-5</v>
      </c>
      <c r="G55">
        <v>6.9690000000000004E-3</v>
      </c>
      <c r="H55">
        <v>17013.408886000001</v>
      </c>
      <c r="L55">
        <v>5</v>
      </c>
      <c r="M55">
        <v>8.0409999999999995E-3</v>
      </c>
      <c r="N55">
        <v>8.7299999999999997E-4</v>
      </c>
      <c r="O55">
        <v>94493.641692000005</v>
      </c>
      <c r="P55">
        <v>0.08</v>
      </c>
      <c r="Q55">
        <v>4.1199999999999999E-4</v>
      </c>
      <c r="R55">
        <v>1.5372E-2</v>
      </c>
      <c r="S55">
        <v>9227.8946959999994</v>
      </c>
    </row>
    <row r="56" spans="1:19">
      <c r="A56">
        <v>7</v>
      </c>
      <c r="B56">
        <v>1.8599999999999999E-4</v>
      </c>
      <c r="C56">
        <v>3.4999999999999997E-5</v>
      </c>
      <c r="D56">
        <v>69779.560668999999</v>
      </c>
      <c r="E56">
        <v>0.06</v>
      </c>
      <c r="F56">
        <v>1E-4</v>
      </c>
      <c r="G56">
        <v>6.9690000000000004E-3</v>
      </c>
      <c r="H56">
        <v>17036.025554</v>
      </c>
      <c r="L56">
        <v>9</v>
      </c>
      <c r="M56">
        <v>8.038E-3</v>
      </c>
      <c r="N56">
        <v>8.6399999999999997E-4</v>
      </c>
      <c r="O56">
        <v>94496.554138000007</v>
      </c>
      <c r="P56">
        <v>0.08</v>
      </c>
      <c r="Q56">
        <v>4.5399999999999998E-4</v>
      </c>
      <c r="R56">
        <v>1.4515999999999999E-2</v>
      </c>
      <c r="S56">
        <v>9228.1791150000008</v>
      </c>
    </row>
    <row r="57" spans="1:19">
      <c r="A57">
        <v>2</v>
      </c>
      <c r="B57">
        <v>1.8900000000000001E-4</v>
      </c>
      <c r="C57">
        <v>3.4999999999999997E-5</v>
      </c>
      <c r="D57">
        <v>69082.155895999997</v>
      </c>
      <c r="E57">
        <v>7.0000000000000007E-2</v>
      </c>
      <c r="F57">
        <v>1.02E-4</v>
      </c>
      <c r="G57">
        <v>7.0099999999999997E-3</v>
      </c>
      <c r="H57">
        <v>16865.760717000001</v>
      </c>
      <c r="L57">
        <v>3</v>
      </c>
      <c r="M57">
        <v>8.038E-3</v>
      </c>
      <c r="N57">
        <v>8.7000000000000001E-4</v>
      </c>
      <c r="O57">
        <v>94484.669865000003</v>
      </c>
      <c r="P57">
        <v>0.09</v>
      </c>
      <c r="Q57">
        <v>4.86E-4</v>
      </c>
      <c r="R57">
        <v>1.4364999999999999E-2</v>
      </c>
      <c r="S57">
        <v>9227.0185409999995</v>
      </c>
    </row>
    <row r="58" spans="1:19">
      <c r="A58">
        <v>10</v>
      </c>
      <c r="B58">
        <v>1.8799999999999999E-4</v>
      </c>
      <c r="C58">
        <v>3.4999999999999997E-5</v>
      </c>
      <c r="D58">
        <v>69310.949842000002</v>
      </c>
      <c r="E58">
        <v>7.0000000000000007E-2</v>
      </c>
      <c r="F58">
        <v>1.01E-4</v>
      </c>
      <c r="G58">
        <v>7.0140000000000003E-3</v>
      </c>
      <c r="H58">
        <v>16921.618613999999</v>
      </c>
      <c r="L58">
        <v>2</v>
      </c>
      <c r="M58">
        <v>8.0429999999999998E-3</v>
      </c>
      <c r="N58">
        <v>8.7600000000000004E-4</v>
      </c>
      <c r="O58">
        <v>94480.397582999998</v>
      </c>
      <c r="P58">
        <v>0.09</v>
      </c>
      <c r="Q58">
        <v>4.4000000000000002E-4</v>
      </c>
      <c r="R58">
        <v>1.4723999999999999E-2</v>
      </c>
      <c r="S58">
        <v>9226.601326</v>
      </c>
    </row>
    <row r="59" spans="1:19">
      <c r="A59" t="s">
        <v>28</v>
      </c>
      <c r="B59">
        <f t="shared" ref="B59:H59" si="6">AVERAGE(B49:B58)</f>
        <v>1.8519999999999998E-4</v>
      </c>
      <c r="C59">
        <f t="shared" si="6"/>
        <v>3.469999999999999E-5</v>
      </c>
      <c r="D59">
        <f t="shared" si="6"/>
        <v>69688.371934500014</v>
      </c>
      <c r="E59">
        <f t="shared" si="6"/>
        <v>6.4000000000000015E-2</v>
      </c>
      <c r="F59">
        <f t="shared" si="6"/>
        <v>9.9900000000000016E-5</v>
      </c>
      <c r="G59">
        <f t="shared" si="6"/>
        <v>6.9810000000000011E-3</v>
      </c>
      <c r="H59">
        <f t="shared" si="6"/>
        <v>17013.762679400003</v>
      </c>
      <c r="L59" t="s">
        <v>28</v>
      </c>
      <c r="M59">
        <f t="shared" ref="M59:S59" si="7">AVERAGE(M49:M58)</f>
        <v>8.0151000000000007E-3</v>
      </c>
      <c r="N59">
        <f t="shared" si="7"/>
        <v>8.6630000000000008E-4</v>
      </c>
      <c r="O59">
        <f t="shared" si="7"/>
        <v>94605.045483599984</v>
      </c>
      <c r="P59">
        <f t="shared" si="7"/>
        <v>8.199999999999999E-2</v>
      </c>
      <c r="Q59">
        <f t="shared" si="7"/>
        <v>3.1690000000000001E-4</v>
      </c>
      <c r="R59">
        <f t="shared" si="7"/>
        <v>1.4386899999999999E-2</v>
      </c>
      <c r="S59">
        <f t="shared" si="7"/>
        <v>9238.7739727000007</v>
      </c>
    </row>
    <row r="62" spans="1:19">
      <c r="A62" t="s">
        <v>35</v>
      </c>
      <c r="L62" t="s">
        <v>36</v>
      </c>
    </row>
    <row r="63" spans="1:19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23</v>
      </c>
      <c r="H63" t="s">
        <v>24</v>
      </c>
      <c r="L63" t="s">
        <v>17</v>
      </c>
      <c r="M63" t="s">
        <v>18</v>
      </c>
      <c r="N63" t="s">
        <v>19</v>
      </c>
      <c r="O63" t="s">
        <v>20</v>
      </c>
      <c r="P63" t="s">
        <v>21</v>
      </c>
      <c r="Q63" t="s">
        <v>22</v>
      </c>
      <c r="R63" t="s">
        <v>23</v>
      </c>
      <c r="S63" t="s">
        <v>24</v>
      </c>
    </row>
    <row r="64" spans="1:19">
      <c r="A64">
        <v>5</v>
      </c>
      <c r="B64">
        <v>1.9799999999999999E-4</v>
      </c>
      <c r="C64">
        <v>2.5999999999999998E-5</v>
      </c>
      <c r="D64">
        <v>86894.642003000001</v>
      </c>
      <c r="E64">
        <v>0.05</v>
      </c>
      <c r="F64">
        <v>1.1400000000000001E-4</v>
      </c>
      <c r="G64">
        <v>6.8129999999999996E-3</v>
      </c>
      <c r="H64">
        <v>16971.609766000001</v>
      </c>
      <c r="L64">
        <v>4</v>
      </c>
      <c r="M64">
        <v>8.6420000000000004E-3</v>
      </c>
      <c r="N64">
        <v>9.9099999999999991E-4</v>
      </c>
      <c r="O64">
        <v>95702.980979999993</v>
      </c>
      <c r="P64">
        <v>0.25</v>
      </c>
      <c r="Q64">
        <v>9.0000000000000006E-5</v>
      </c>
      <c r="R64">
        <v>1.2581999999999999E-2</v>
      </c>
      <c r="S64">
        <v>8496.358397</v>
      </c>
    </row>
    <row r="65" spans="1:19">
      <c r="A65">
        <v>2</v>
      </c>
      <c r="B65">
        <v>1.95E-4</v>
      </c>
      <c r="C65">
        <v>2.5999999999999998E-5</v>
      </c>
      <c r="D65">
        <v>87732.683881000004</v>
      </c>
      <c r="E65">
        <v>0.05</v>
      </c>
      <c r="F65">
        <v>1.21E-4</v>
      </c>
      <c r="G65">
        <v>6.7629999999999999E-3</v>
      </c>
      <c r="H65">
        <v>17135.289820999998</v>
      </c>
      <c r="L65">
        <v>7</v>
      </c>
      <c r="M65">
        <v>8.6429999999999996E-3</v>
      </c>
      <c r="N65">
        <v>9.9099999999999991E-4</v>
      </c>
      <c r="O65">
        <v>95685.495829000007</v>
      </c>
      <c r="P65">
        <v>0.27</v>
      </c>
      <c r="Q65">
        <v>8.2000000000000001E-5</v>
      </c>
      <c r="R65">
        <v>1.2933999999999999E-2</v>
      </c>
      <c r="S65">
        <v>8494.8060929999992</v>
      </c>
    </row>
    <row r="66" spans="1:19">
      <c r="A66">
        <v>4</v>
      </c>
      <c r="B66">
        <v>1.9599999999999999E-4</v>
      </c>
      <c r="C66">
        <v>2.5000000000000001E-5</v>
      </c>
      <c r="D66">
        <v>87228.619275000005</v>
      </c>
      <c r="E66">
        <v>0.11</v>
      </c>
      <c r="F66">
        <v>1.26E-4</v>
      </c>
      <c r="G66">
        <v>6.7669999999999996E-3</v>
      </c>
      <c r="H66">
        <v>17036.839702000001</v>
      </c>
      <c r="L66">
        <v>5</v>
      </c>
      <c r="M66">
        <v>8.7880000000000007E-3</v>
      </c>
      <c r="N66">
        <v>1.008E-3</v>
      </c>
      <c r="O66">
        <v>95012.294364999994</v>
      </c>
      <c r="P66">
        <v>0.26</v>
      </c>
      <c r="Q66">
        <v>1.27E-4</v>
      </c>
      <c r="R66">
        <v>1.1768000000000001E-2</v>
      </c>
      <c r="S66">
        <v>8435.0403380000007</v>
      </c>
    </row>
    <row r="67" spans="1:19">
      <c r="A67">
        <v>7</v>
      </c>
      <c r="B67">
        <v>1.9799999999999999E-4</v>
      </c>
      <c r="C67">
        <v>2.5999999999999998E-5</v>
      </c>
      <c r="D67">
        <v>86829.733567000003</v>
      </c>
      <c r="E67">
        <v>0.11</v>
      </c>
      <c r="F67">
        <v>1.2E-4</v>
      </c>
      <c r="G67">
        <v>6.7669999999999996E-3</v>
      </c>
      <c r="H67">
        <v>16958.932336999998</v>
      </c>
      <c r="L67">
        <v>2</v>
      </c>
      <c r="M67">
        <v>8.7899999999999992E-3</v>
      </c>
      <c r="N67">
        <v>1.0070000000000001E-3</v>
      </c>
      <c r="O67">
        <v>95009.376820000005</v>
      </c>
      <c r="P67">
        <v>0.31</v>
      </c>
      <c r="Q67">
        <v>1.75E-4</v>
      </c>
      <c r="R67">
        <v>1.5278E-2</v>
      </c>
      <c r="S67">
        <v>8434.7813229999992</v>
      </c>
    </row>
    <row r="68" spans="1:19">
      <c r="A68">
        <v>3</v>
      </c>
      <c r="B68">
        <v>1.9900000000000001E-4</v>
      </c>
      <c r="C68">
        <v>2.5999999999999998E-5</v>
      </c>
      <c r="D68">
        <v>87092.537532999995</v>
      </c>
      <c r="E68">
        <v>0.12</v>
      </c>
      <c r="F68">
        <v>1.2300000000000001E-4</v>
      </c>
      <c r="G68">
        <v>6.816E-3</v>
      </c>
      <c r="H68">
        <v>17010.261236999999</v>
      </c>
      <c r="L68">
        <v>1</v>
      </c>
      <c r="M68">
        <v>8.7930000000000005E-3</v>
      </c>
      <c r="N68">
        <v>1.013E-3</v>
      </c>
      <c r="O68">
        <v>94989.467153000005</v>
      </c>
      <c r="P68">
        <v>0.27</v>
      </c>
      <c r="Q68">
        <v>2.02E-4</v>
      </c>
      <c r="R68">
        <v>1.2880000000000001E-2</v>
      </c>
      <c r="S68">
        <v>8433.0137739999991</v>
      </c>
    </row>
    <row r="69" spans="1:19">
      <c r="A69">
        <v>1</v>
      </c>
      <c r="B69">
        <v>1.9799999999999999E-4</v>
      </c>
      <c r="C69">
        <v>2.5999999999999998E-5</v>
      </c>
      <c r="D69">
        <v>87208.685995000007</v>
      </c>
      <c r="E69">
        <v>0.11</v>
      </c>
      <c r="F69">
        <v>1.2400000000000001E-4</v>
      </c>
      <c r="G69">
        <v>6.764E-3</v>
      </c>
      <c r="H69">
        <v>17032.946483</v>
      </c>
      <c r="L69">
        <v>6</v>
      </c>
      <c r="M69">
        <v>8.7869999999999997E-3</v>
      </c>
      <c r="N69">
        <v>1.0089999999999999E-3</v>
      </c>
      <c r="O69">
        <v>94988.919647000002</v>
      </c>
      <c r="P69">
        <v>0.27</v>
      </c>
      <c r="Q69">
        <v>1.64E-4</v>
      </c>
      <c r="R69">
        <v>1.1734E-2</v>
      </c>
      <c r="S69">
        <v>8432.9651680000006</v>
      </c>
    </row>
    <row r="70" spans="1:19">
      <c r="A70">
        <v>10</v>
      </c>
      <c r="B70">
        <v>1.9900000000000001E-4</v>
      </c>
      <c r="C70">
        <v>2.5999999999999998E-5</v>
      </c>
      <c r="D70">
        <v>86748.975439999995</v>
      </c>
      <c r="E70">
        <v>0.12</v>
      </c>
      <c r="F70">
        <v>1.2400000000000001E-4</v>
      </c>
      <c r="G70">
        <v>6.7669999999999996E-3</v>
      </c>
      <c r="H70">
        <v>16943.159265999999</v>
      </c>
      <c r="L70">
        <v>10</v>
      </c>
      <c r="M70">
        <v>8.7889999999999999E-3</v>
      </c>
      <c r="N70">
        <v>1.018E-3</v>
      </c>
      <c r="O70">
        <v>94995.794704999993</v>
      </c>
      <c r="P70">
        <v>0.26</v>
      </c>
      <c r="Q70">
        <v>3.4699999999999998E-4</v>
      </c>
      <c r="R70">
        <v>1.1766E-2</v>
      </c>
      <c r="S70">
        <v>8433.5755239999999</v>
      </c>
    </row>
    <row r="71" spans="1:19">
      <c r="A71">
        <v>6</v>
      </c>
      <c r="B71">
        <v>1.94E-4</v>
      </c>
      <c r="C71">
        <v>2.5999999999999998E-5</v>
      </c>
      <c r="D71">
        <v>87478.538558999993</v>
      </c>
      <c r="E71">
        <v>0.12</v>
      </c>
      <c r="F71">
        <v>1.18E-4</v>
      </c>
      <c r="G71">
        <v>6.7660000000000003E-3</v>
      </c>
      <c r="H71">
        <v>17085.652062000001</v>
      </c>
      <c r="L71">
        <v>8</v>
      </c>
      <c r="M71">
        <v>8.7899999999999992E-3</v>
      </c>
      <c r="N71">
        <v>1.005E-3</v>
      </c>
      <c r="O71">
        <v>94998.836796999996</v>
      </c>
      <c r="P71">
        <v>0.32</v>
      </c>
      <c r="Q71">
        <v>4.7699999999999999E-4</v>
      </c>
      <c r="R71">
        <v>1.3391999999999999E-2</v>
      </c>
      <c r="S71">
        <v>8433.8455959999992</v>
      </c>
    </row>
    <row r="72" spans="1:19">
      <c r="A72">
        <v>9</v>
      </c>
      <c r="B72">
        <v>1.9699999999999999E-4</v>
      </c>
      <c r="C72">
        <v>2.5000000000000001E-5</v>
      </c>
      <c r="D72">
        <v>87231.327590000001</v>
      </c>
      <c r="E72">
        <v>0.12</v>
      </c>
      <c r="F72">
        <v>1.2400000000000001E-4</v>
      </c>
      <c r="G72">
        <v>6.7669999999999996E-3</v>
      </c>
      <c r="H72">
        <v>17037.36867</v>
      </c>
      <c r="L72">
        <v>3</v>
      </c>
      <c r="M72">
        <v>8.7899999999999992E-3</v>
      </c>
      <c r="N72">
        <v>1.0089999999999999E-3</v>
      </c>
      <c r="O72">
        <v>94993.564574999997</v>
      </c>
      <c r="P72">
        <v>0.25</v>
      </c>
      <c r="Q72">
        <v>7.1699999999999997E-4</v>
      </c>
      <c r="R72">
        <v>1.5342E-2</v>
      </c>
      <c r="S72">
        <v>8433.3775370000003</v>
      </c>
    </row>
    <row r="73" spans="1:19">
      <c r="A73">
        <v>8</v>
      </c>
      <c r="B73">
        <v>1.9699999999999999E-4</v>
      </c>
      <c r="C73">
        <v>2.5000000000000001E-5</v>
      </c>
      <c r="D73">
        <v>86959.052882999997</v>
      </c>
      <c r="E73">
        <v>0.12</v>
      </c>
      <c r="F73">
        <v>1.2400000000000001E-4</v>
      </c>
      <c r="G73">
        <v>6.8139999999999997E-3</v>
      </c>
      <c r="H73">
        <v>16984.190016</v>
      </c>
      <c r="L73">
        <v>9</v>
      </c>
      <c r="M73">
        <v>8.7919999999999995E-3</v>
      </c>
      <c r="N73">
        <v>1.01E-3</v>
      </c>
      <c r="O73">
        <v>94986.750241999995</v>
      </c>
      <c r="P73">
        <v>0.24</v>
      </c>
      <c r="Q73">
        <v>8.8599999999999996E-4</v>
      </c>
      <c r="R73">
        <v>1.2094000000000001E-2</v>
      </c>
      <c r="S73">
        <v>8432.7725709999995</v>
      </c>
    </row>
    <row r="74" spans="1:19">
      <c r="A74" t="s">
        <v>28</v>
      </c>
      <c r="B74">
        <f t="shared" ref="B74:H74" si="8">AVERAGE(B64:B73)</f>
        <v>1.9709999999999997E-4</v>
      </c>
      <c r="C74">
        <f t="shared" si="8"/>
        <v>2.5700000000000001E-5</v>
      </c>
      <c r="D74">
        <f t="shared" si="8"/>
        <v>87140.479672600006</v>
      </c>
      <c r="E74">
        <f t="shared" si="8"/>
        <v>0.10300000000000001</v>
      </c>
      <c r="F74">
        <f t="shared" si="8"/>
        <v>1.2179999999999999E-4</v>
      </c>
      <c r="G74">
        <f t="shared" si="8"/>
        <v>6.7804000000000007E-3</v>
      </c>
      <c r="H74">
        <f t="shared" si="8"/>
        <v>17019.624936</v>
      </c>
      <c r="L74" t="s">
        <v>28</v>
      </c>
      <c r="M74">
        <f t="shared" ref="M74:S74" si="9">AVERAGE(M64:M73)</f>
        <v>8.760399999999998E-3</v>
      </c>
      <c r="N74">
        <f t="shared" si="9"/>
        <v>1.0061E-3</v>
      </c>
      <c r="O74">
        <f t="shared" si="9"/>
        <v>95136.348111300002</v>
      </c>
      <c r="P74">
        <f t="shared" si="9"/>
        <v>0.27</v>
      </c>
      <c r="Q74">
        <f t="shared" si="9"/>
        <v>3.2670000000000003E-4</v>
      </c>
      <c r="R74">
        <f t="shared" si="9"/>
        <v>1.2976999999999999E-2</v>
      </c>
      <c r="S74">
        <f t="shared" si="9"/>
        <v>8446.0536321</v>
      </c>
    </row>
    <row r="77" spans="1:19">
      <c r="A77" t="s">
        <v>37</v>
      </c>
      <c r="L77" t="s">
        <v>38</v>
      </c>
    </row>
    <row r="78" spans="1:19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L78" t="s">
        <v>17</v>
      </c>
      <c r="M78" t="s">
        <v>18</v>
      </c>
      <c r="N78" t="s">
        <v>19</v>
      </c>
      <c r="O78" t="s">
        <v>20</v>
      </c>
      <c r="P78" t="s">
        <v>21</v>
      </c>
      <c r="Q78" t="s">
        <v>22</v>
      </c>
      <c r="R78" t="s">
        <v>23</v>
      </c>
      <c r="S78" t="s">
        <v>24</v>
      </c>
    </row>
    <row r="79" spans="1:19">
      <c r="A79">
        <v>4</v>
      </c>
      <c r="B79">
        <v>4.8739999999999999E-3</v>
      </c>
      <c r="C79">
        <v>1.9900000000000001E-4</v>
      </c>
      <c r="D79">
        <v>91086.694715000005</v>
      </c>
      <c r="E79">
        <v>0.06</v>
      </c>
      <c r="F79">
        <v>1.4999999999999999E-4</v>
      </c>
      <c r="G79">
        <v>1.1494000000000001E-2</v>
      </c>
      <c r="H79">
        <v>14825.308385</v>
      </c>
      <c r="L79">
        <v>5</v>
      </c>
      <c r="M79">
        <v>6.9230000000000003E-3</v>
      </c>
      <c r="N79">
        <v>8.9499999999999996E-4</v>
      </c>
      <c r="O79">
        <v>92623.291482999994</v>
      </c>
      <c r="P79">
        <v>0.02</v>
      </c>
      <c r="Q79">
        <v>6.9999999999999994E-5</v>
      </c>
      <c r="R79">
        <v>1.1109000000000001E-2</v>
      </c>
      <c r="S79">
        <v>7537.702757</v>
      </c>
    </row>
    <row r="80" spans="1:19">
      <c r="A80">
        <v>1</v>
      </c>
      <c r="B80">
        <v>4.8820000000000001E-3</v>
      </c>
      <c r="C80">
        <v>1.9599999999999999E-4</v>
      </c>
      <c r="D80">
        <v>91084.829106000005</v>
      </c>
      <c r="E80">
        <v>0.05</v>
      </c>
      <c r="F80">
        <v>1.46E-4</v>
      </c>
      <c r="G80">
        <v>1.2245000000000001E-2</v>
      </c>
      <c r="H80">
        <v>14825.004736999999</v>
      </c>
      <c r="L80">
        <v>3</v>
      </c>
      <c r="M80">
        <v>6.9210000000000001E-3</v>
      </c>
      <c r="N80">
        <v>8.7699999999999996E-4</v>
      </c>
      <c r="O80">
        <v>92635.054869</v>
      </c>
      <c r="P80">
        <v>0.02</v>
      </c>
      <c r="Q80">
        <v>7.2999999999999999E-5</v>
      </c>
      <c r="R80">
        <v>9.6259999999999991E-3</v>
      </c>
      <c r="S80">
        <v>7538.6600639999997</v>
      </c>
    </row>
    <row r="81" spans="1:19">
      <c r="A81">
        <v>3</v>
      </c>
      <c r="B81">
        <v>4.8820000000000001E-3</v>
      </c>
      <c r="C81">
        <v>2.0100000000000001E-4</v>
      </c>
      <c r="D81">
        <v>91116.927116999999</v>
      </c>
      <c r="E81">
        <v>0.05</v>
      </c>
      <c r="F81">
        <v>1.4200000000000001E-4</v>
      </c>
      <c r="G81">
        <v>1.0129000000000001E-2</v>
      </c>
      <c r="H81">
        <v>14830.229023</v>
      </c>
      <c r="L81">
        <v>4</v>
      </c>
      <c r="M81">
        <v>7.058E-3</v>
      </c>
      <c r="N81">
        <v>9.1699999999999995E-4</v>
      </c>
      <c r="O81">
        <v>91672.058174999998</v>
      </c>
      <c r="P81">
        <v>0.02</v>
      </c>
      <c r="Q81">
        <v>1.05E-4</v>
      </c>
      <c r="R81">
        <v>9.7420000000000007E-3</v>
      </c>
      <c r="S81">
        <v>7460.291193</v>
      </c>
    </row>
    <row r="82" spans="1:19">
      <c r="A82">
        <v>7</v>
      </c>
      <c r="B82">
        <v>4.8859999999999997E-3</v>
      </c>
      <c r="C82">
        <v>2.05E-4</v>
      </c>
      <c r="D82">
        <v>91137.224501999997</v>
      </c>
      <c r="E82">
        <v>0.06</v>
      </c>
      <c r="F82">
        <v>1.5899999999999999E-4</v>
      </c>
      <c r="G82">
        <v>1.2128999999999999E-2</v>
      </c>
      <c r="H82">
        <v>14833.532633999999</v>
      </c>
      <c r="L82">
        <v>2</v>
      </c>
      <c r="M82">
        <v>7.058E-3</v>
      </c>
      <c r="N82">
        <v>9.2299999999999999E-4</v>
      </c>
      <c r="O82">
        <v>91659.765513000006</v>
      </c>
      <c r="P82">
        <v>0.02</v>
      </c>
      <c r="Q82">
        <v>1.22E-4</v>
      </c>
      <c r="R82">
        <v>9.6500000000000006E-3</v>
      </c>
      <c r="S82">
        <v>7459.2908129999996</v>
      </c>
    </row>
    <row r="83" spans="1:19">
      <c r="A83">
        <v>2</v>
      </c>
      <c r="B83">
        <v>4.8890000000000001E-3</v>
      </c>
      <c r="C83">
        <v>2.0000000000000001E-4</v>
      </c>
      <c r="D83">
        <v>91117.177051000006</v>
      </c>
      <c r="E83">
        <v>0.05</v>
      </c>
      <c r="F83">
        <v>1.45E-4</v>
      </c>
      <c r="G83">
        <v>9.9249999999999998E-3</v>
      </c>
      <c r="H83">
        <v>14830.269702</v>
      </c>
      <c r="L83">
        <v>8</v>
      </c>
      <c r="M83">
        <v>7.0619999999999997E-3</v>
      </c>
      <c r="N83">
        <v>8.7399999999999999E-4</v>
      </c>
      <c r="O83">
        <v>91648.189924999999</v>
      </c>
      <c r="P83">
        <v>0.02</v>
      </c>
      <c r="Q83">
        <v>1.3300000000000001E-4</v>
      </c>
      <c r="R83">
        <v>1.0685E-2</v>
      </c>
      <c r="S83">
        <v>7458.34879</v>
      </c>
    </row>
    <row r="84" spans="1:19">
      <c r="A84">
        <v>8</v>
      </c>
      <c r="B84">
        <v>4.8910000000000004E-3</v>
      </c>
      <c r="C84">
        <v>2.05E-4</v>
      </c>
      <c r="D84">
        <v>91135.477755</v>
      </c>
      <c r="E84">
        <v>0.06</v>
      </c>
      <c r="F84">
        <v>1.4200000000000001E-4</v>
      </c>
      <c r="G84">
        <v>1.2096000000000001E-2</v>
      </c>
      <c r="H84">
        <v>14833.248331999999</v>
      </c>
      <c r="L84">
        <v>10</v>
      </c>
      <c r="M84">
        <v>7.0619999999999997E-3</v>
      </c>
      <c r="N84">
        <v>9.4899999999999997E-4</v>
      </c>
      <c r="O84">
        <v>91652.538381000006</v>
      </c>
      <c r="P84">
        <v>0.02</v>
      </c>
      <c r="Q84">
        <v>2.4800000000000001E-4</v>
      </c>
      <c r="R84">
        <v>1.1488999999999999E-2</v>
      </c>
      <c r="S84">
        <v>7458.7026679999999</v>
      </c>
    </row>
    <row r="85" spans="1:19">
      <c r="A85">
        <v>6</v>
      </c>
      <c r="B85">
        <v>4.8929999999999998E-3</v>
      </c>
      <c r="C85">
        <v>1.9799999999999999E-4</v>
      </c>
      <c r="D85">
        <v>91139.189954999994</v>
      </c>
      <c r="E85">
        <v>0.05</v>
      </c>
      <c r="F85">
        <v>1.6200000000000001E-4</v>
      </c>
      <c r="G85">
        <v>1.1679E-2</v>
      </c>
      <c r="H85">
        <v>14833.852532000001</v>
      </c>
      <c r="L85">
        <v>7</v>
      </c>
      <c r="M85">
        <v>7.0609999999999996E-3</v>
      </c>
      <c r="N85">
        <v>8.8800000000000001E-4</v>
      </c>
      <c r="O85">
        <v>91663.419192999994</v>
      </c>
      <c r="P85">
        <v>0.03</v>
      </c>
      <c r="Q85">
        <v>4.3199999999999998E-4</v>
      </c>
      <c r="R85">
        <v>9.6469999999999993E-3</v>
      </c>
      <c r="S85">
        <v>7459.5881499999996</v>
      </c>
    </row>
    <row r="86" spans="1:19">
      <c r="A86">
        <v>9</v>
      </c>
      <c r="B86">
        <v>4.8820000000000001E-3</v>
      </c>
      <c r="C86">
        <v>2.04E-4</v>
      </c>
      <c r="D86">
        <v>91126.287595999995</v>
      </c>
      <c r="E86">
        <v>0.06</v>
      </c>
      <c r="F86">
        <v>1.45E-4</v>
      </c>
      <c r="G86">
        <v>1.2553999999999999E-2</v>
      </c>
      <c r="H86">
        <v>14831.752538000001</v>
      </c>
      <c r="L86">
        <v>9</v>
      </c>
      <c r="M86">
        <v>7.064E-3</v>
      </c>
      <c r="N86">
        <v>9.5299999999999996E-4</v>
      </c>
      <c r="O86">
        <v>91644.260722999999</v>
      </c>
      <c r="P86">
        <v>0.03</v>
      </c>
      <c r="Q86">
        <v>7.7800000000000005E-4</v>
      </c>
      <c r="R86">
        <v>9.6480000000000003E-3</v>
      </c>
      <c r="S86">
        <v>7458.0290299999997</v>
      </c>
    </row>
    <row r="87" spans="1:19">
      <c r="A87">
        <v>5</v>
      </c>
      <c r="B87">
        <v>4.8890000000000001E-3</v>
      </c>
      <c r="C87">
        <v>2.0100000000000001E-4</v>
      </c>
      <c r="D87">
        <v>91113.022012000001</v>
      </c>
      <c r="E87">
        <v>0.06</v>
      </c>
      <c r="F87">
        <v>1.6799999999999999E-4</v>
      </c>
      <c r="G87">
        <v>1.1174E-2</v>
      </c>
      <c r="H87">
        <v>14829.593425999999</v>
      </c>
      <c r="L87">
        <v>6</v>
      </c>
      <c r="M87">
        <v>7.0619999999999997E-3</v>
      </c>
      <c r="N87">
        <v>8.8900000000000003E-4</v>
      </c>
      <c r="O87">
        <v>91662.949886000002</v>
      </c>
      <c r="P87">
        <v>0.03</v>
      </c>
      <c r="Q87">
        <v>6.4000000000000005E-4</v>
      </c>
      <c r="R87">
        <v>1.2305E-2</v>
      </c>
      <c r="S87">
        <v>7459.5499579999996</v>
      </c>
    </row>
    <row r="88" spans="1:19">
      <c r="A88">
        <v>10</v>
      </c>
      <c r="B88">
        <v>4.8849999999999996E-3</v>
      </c>
      <c r="C88">
        <v>1.9699999999999999E-4</v>
      </c>
      <c r="D88">
        <v>91123.280755999993</v>
      </c>
      <c r="E88">
        <v>0.06</v>
      </c>
      <c r="F88">
        <v>1.4300000000000001E-4</v>
      </c>
      <c r="G88">
        <v>1.1974E-2</v>
      </c>
      <c r="H88">
        <v>14831.263144</v>
      </c>
      <c r="L88">
        <v>1</v>
      </c>
      <c r="M88">
        <v>7.0590000000000002E-3</v>
      </c>
      <c r="N88">
        <v>9.19E-4</v>
      </c>
      <c r="O88">
        <v>91667.566432000007</v>
      </c>
      <c r="P88">
        <v>0.03</v>
      </c>
      <c r="Q88">
        <v>7.6000000000000004E-4</v>
      </c>
      <c r="R88">
        <v>9.6469999999999993E-3</v>
      </c>
      <c r="S88">
        <v>7459.9256539999997</v>
      </c>
    </row>
    <row r="89" spans="1:19">
      <c r="A89" t="s">
        <v>28</v>
      </c>
      <c r="B89">
        <f t="shared" ref="B89:H89" si="10">AVERAGE(B79:B88)</f>
        <v>4.8852999999999995E-3</v>
      </c>
      <c r="C89">
        <f t="shared" si="10"/>
        <v>2.006E-4</v>
      </c>
      <c r="D89">
        <f t="shared" si="10"/>
        <v>91118.011056499992</v>
      </c>
      <c r="E89">
        <f t="shared" si="10"/>
        <v>5.6000000000000008E-2</v>
      </c>
      <c r="F89">
        <f t="shared" si="10"/>
        <v>1.5019999999999999E-4</v>
      </c>
      <c r="G89">
        <f t="shared" si="10"/>
        <v>1.1539899999999999E-2</v>
      </c>
      <c r="H89">
        <f t="shared" si="10"/>
        <v>14830.405445300003</v>
      </c>
      <c r="L89" t="s">
        <v>28</v>
      </c>
      <c r="M89">
        <f t="shared" ref="M89:S89" si="11">AVERAGE(M79:M88)</f>
        <v>7.0329999999999993E-3</v>
      </c>
      <c r="N89">
        <f t="shared" si="11"/>
        <v>9.0839999999999985E-4</v>
      </c>
      <c r="O89">
        <f t="shared" si="11"/>
        <v>91852.909458000009</v>
      </c>
      <c r="P89">
        <f t="shared" si="11"/>
        <v>2.4E-2</v>
      </c>
      <c r="Q89">
        <f t="shared" si="11"/>
        <v>3.3610000000000004E-4</v>
      </c>
      <c r="R89">
        <f t="shared" si="11"/>
        <v>1.0354800000000001E-2</v>
      </c>
      <c r="S89">
        <f t="shared" si="11"/>
        <v>7475.0089076999993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Larissa Goh</cp:lastModifiedBy>
  <cp:revision/>
  <dcterms:created xsi:type="dcterms:W3CDTF">2025-10-13T02:19:06Z</dcterms:created>
  <dcterms:modified xsi:type="dcterms:W3CDTF">2025-10-19T02:58:05Z</dcterms:modified>
  <cp:category/>
  <cp:contentStatus/>
</cp:coreProperties>
</file>