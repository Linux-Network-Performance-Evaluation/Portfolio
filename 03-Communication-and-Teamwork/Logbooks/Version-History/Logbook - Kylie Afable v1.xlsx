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autuni-my.sharepoint.com/personal/cgr2690_autuni_ac_nz/Documents/Data/COMP703/Linux Networking/03-Communication-and-Teamwork/Logbooks/Version-Control/"/>
    </mc:Choice>
  </mc:AlternateContent>
  <xr:revisionPtr revIDLastSave="289" documentId="13_ncr:1_{D484A641-6A78-43A6-B3E2-B28266551B4D}" xr6:coauthVersionLast="47" xr6:coauthVersionMax="47" xr10:uidLastSave="{F347DAEA-5776-463C-9292-F2C8C5CA7135}"/>
  <bookViews>
    <workbookView xWindow="-105" yWindow="0" windowWidth="14610" windowHeight="15585" xr2:uid="{00000000-000D-0000-FFFF-FFFF00000000}"/>
  </bookViews>
  <sheets>
    <sheet name="Work Log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1" i="1" l="1"/>
  <c r="E53" i="1"/>
  <c r="E27" i="1"/>
  <c r="E46" i="1"/>
  <c r="E19" i="1"/>
  <c r="E18" i="1"/>
  <c r="E22" i="1"/>
  <c r="E14" i="1"/>
  <c r="E10" i="1"/>
  <c r="E11" i="1"/>
  <c r="E12" i="1"/>
  <c r="E13" i="1"/>
  <c r="E15" i="1"/>
  <c r="E16" i="1"/>
  <c r="E9" i="1"/>
  <c r="E63" i="1"/>
  <c r="E64" i="1"/>
  <c r="E65" i="1"/>
  <c r="E41" i="1"/>
  <c r="E42" i="1"/>
  <c r="E58" i="1"/>
  <c r="E59" i="1"/>
  <c r="E7" i="1"/>
  <c r="E45" i="1"/>
  <c r="E50" i="1"/>
  <c r="E52" i="1"/>
  <c r="E57" i="1"/>
  <c r="E62" i="1"/>
  <c r="E66" i="1" s="1"/>
  <c r="E49" i="1"/>
  <c r="E3" i="1"/>
  <c r="E5" i="1"/>
  <c r="E6" i="1"/>
  <c r="E20" i="1"/>
  <c r="E21" i="1"/>
  <c r="E23" i="1"/>
  <c r="E25" i="1"/>
  <c r="E26" i="1"/>
  <c r="E28" i="1"/>
  <c r="E29" i="1"/>
  <c r="E31" i="1"/>
  <c r="E32" i="1"/>
  <c r="E33" i="1"/>
  <c r="E34" i="1"/>
  <c r="E35" i="1"/>
  <c r="E36" i="1"/>
  <c r="E37" i="1"/>
  <c r="E38" i="1"/>
  <c r="E40" i="1"/>
  <c r="E44" i="1"/>
  <c r="E48" i="1"/>
  <c r="E4" i="1"/>
  <c r="E30" i="1" l="1"/>
  <c r="E24" i="1"/>
  <c r="E17" i="1"/>
  <c r="E60" i="1"/>
  <c r="E8" i="1"/>
  <c r="E47" i="1"/>
  <c r="E54" i="1"/>
  <c r="E43" i="1"/>
  <c r="E39" i="1"/>
</calcChain>
</file>

<file path=xl/sharedStrings.xml><?xml version="1.0" encoding="utf-8"?>
<sst xmlns="http://schemas.openxmlformats.org/spreadsheetml/2006/main" count="121" uniqueCount="79">
  <si>
    <t>Date</t>
  </si>
  <si>
    <t>Week</t>
  </si>
  <si>
    <t xml:space="preserve">Start Time </t>
  </si>
  <si>
    <t>End Time</t>
  </si>
  <si>
    <t xml:space="preserve">Total Hours </t>
  </si>
  <si>
    <t>Task Description</t>
  </si>
  <si>
    <t>Comments</t>
  </si>
  <si>
    <t>JOINED TEAM WEEK 3</t>
  </si>
  <si>
    <t xml:space="preserve">Meeting with client </t>
  </si>
  <si>
    <t>Allocating tasks</t>
  </si>
  <si>
    <t>Workshop</t>
  </si>
  <si>
    <t>Attended workshop</t>
  </si>
  <si>
    <t>Logbook</t>
  </si>
  <si>
    <t>Reviewed week 3/updated logbook</t>
  </si>
  <si>
    <t>TOTAL</t>
  </si>
  <si>
    <t>Catchup!!</t>
  </si>
  <si>
    <t>Upskilling</t>
  </si>
  <si>
    <t xml:space="preserve">Review on skills needed to improve on </t>
  </si>
  <si>
    <t>Team meeting</t>
  </si>
  <si>
    <t>Discussion of proposal, presentation and feedback from mentor</t>
  </si>
  <si>
    <t>Reviewed week 4/updated logbook</t>
  </si>
  <si>
    <t>Mentor/client meeting</t>
  </si>
  <si>
    <t>Mock presentation and project update</t>
  </si>
  <si>
    <t>Reviewed week 5/updated logbook</t>
  </si>
  <si>
    <t>Presentation rehearsal</t>
  </si>
  <si>
    <t>Familiarising with Linux, networking basics</t>
  </si>
  <si>
    <t>Official Presentation</t>
  </si>
  <si>
    <t>Reviewed week 6/updated logbook</t>
  </si>
  <si>
    <t>MIDSEM BREAK</t>
  </si>
  <si>
    <t xml:space="preserve">Reviewed upskilling schedule, </t>
  </si>
  <si>
    <t>Preperation for IPv4 and 6 - Linux fundamentals and environment setup</t>
  </si>
  <si>
    <t>Reviewed week 1 (midsem break)/updated logbook</t>
  </si>
  <si>
    <t>Preperation for IPv4 and 6 - Linux routing and networking testing</t>
  </si>
  <si>
    <t xml:space="preserve">Review of week 1 upskilling </t>
  </si>
  <si>
    <t>Reviewed week 2 (midsem break)/updated logbook</t>
  </si>
  <si>
    <t>Mentor/Client meeting</t>
  </si>
  <si>
    <t>Project progress update</t>
  </si>
  <si>
    <t>Catch up!</t>
  </si>
  <si>
    <t xml:space="preserve">Reviewing documents etc. </t>
  </si>
  <si>
    <t>Reviewed week 7/updated logbook</t>
  </si>
  <si>
    <t>Team meeting IPv4</t>
  </si>
  <si>
    <t>Reviewed D-ITG data, assessed why we were getting inconsistent data</t>
  </si>
  <si>
    <t>Reviewed week 8/updated logbook</t>
  </si>
  <si>
    <t>Catch up on Meeting</t>
  </si>
  <si>
    <t>Discussion of status report</t>
  </si>
  <si>
    <t>Team contribution</t>
  </si>
  <si>
    <t>Filled out Team Contribution</t>
  </si>
  <si>
    <t>Meeting minutes</t>
  </si>
  <si>
    <t>Filled out Meeting minutes</t>
  </si>
  <si>
    <t>Catch up on Meeting/Worked on Mid-term</t>
  </si>
  <si>
    <t>Reviewed week 9/updated logbook</t>
  </si>
  <si>
    <t xml:space="preserve">TOTAL </t>
  </si>
  <si>
    <t>Mid-term prep</t>
  </si>
  <si>
    <t>Worked on presentation and mid-review</t>
  </si>
  <si>
    <t>Reviewed week 10/updated logbook/double checking every week and polishing log-book</t>
  </si>
  <si>
    <t xml:space="preserve">Presentation finalizations </t>
  </si>
  <si>
    <t>Updated log book</t>
  </si>
  <si>
    <t>Practicing presentation for show and tell</t>
  </si>
  <si>
    <t>Discussed task roles (IPv4 and 6 Team) / Project requirements</t>
  </si>
  <si>
    <t>Team Meeting</t>
  </si>
  <si>
    <t>Catchup - reviewed proposal</t>
  </si>
  <si>
    <t xml:space="preserve">Proposal </t>
  </si>
  <si>
    <t xml:space="preserve">Had to catch up on week 1 </t>
  </si>
  <si>
    <t>Had to catch up on week 2</t>
  </si>
  <si>
    <t>Mentor meeting</t>
  </si>
  <si>
    <t>Meeting with mentor - reviewed proposal</t>
  </si>
  <si>
    <t>Familiarising  with linux</t>
  </si>
  <si>
    <t>Proposal</t>
  </si>
  <si>
    <t>Allocated "project feasibility" - drafted what could possibly be in this section</t>
  </si>
  <si>
    <t xml:space="preserve">Presentation </t>
  </si>
  <si>
    <t>Created the layout for the presentation</t>
  </si>
  <si>
    <t>Presentation</t>
  </si>
  <si>
    <t xml:space="preserve">Helped edit powerpoint </t>
  </si>
  <si>
    <t>Observing and reading files in the one-drive</t>
  </si>
  <si>
    <t xml:space="preserve">Presentation D-ITG section </t>
  </si>
  <si>
    <t>summarised to fit into the slides + practicing and timing myself for the presentation</t>
  </si>
  <si>
    <t>Caught up on meeting/worked on proof read the slideshow+A52:G52</t>
  </si>
  <si>
    <t>Caught up on meeting/worked on proof read for our mid-term proposal</t>
  </si>
  <si>
    <t>Was not able to attend meeting – had to review notes written during the meeting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</si>
</sst>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2" fontId="0" fillId="0" borderId="0" xfId="0" applyNumberFormat="1"/>
    <xf numFmtId="14" fontId="0" fillId="0" borderId="0" xfId="0" applyNumberFormat="1"/>
    <xf numFmtId="18" fontId="0" fillId="0" borderId="0" xfId="0" applyNumberFormat="1"/>
    <xf numFmtId="14" fontId="0" fillId="2" borderId="0" xfId="0" applyNumberFormat="1" applyFill="1"/>
    <xf numFmtId="0" fontId="0" fillId="2" borderId="0" xfId="0" applyFill="1"/>
    <xf numFmtId="18" fontId="0" fillId="2" borderId="0" xfId="0" applyNumberFormat="1" applyFill="1"/>
    <xf numFmtId="2" fontId="0" fillId="2" borderId="0" xfId="0" applyNumberFormat="1" applyFill="1"/>
    <xf numFmtId="2" fontId="0" fillId="3" borderId="0" xfId="0" applyNumberFormat="1" applyFill="1"/>
    <xf numFmtId="0" fontId="0" fillId="3" borderId="0" xfId="0" applyFill="1"/>
    <xf numFmtId="0" fontId="0" fillId="4" borderId="0" xfId="0" applyFill="1"/>
    <xf numFmtId="2" fontId="0" fillId="4" borderId="0" xfId="0" applyNumberFormat="1" applyFill="1"/>
    <xf numFmtId="14" fontId="0" fillId="5" borderId="0" xfId="0" applyNumberFormat="1" applyFill="1"/>
    <xf numFmtId="0" fontId="0" fillId="5" borderId="0" xfId="0" applyFill="1"/>
    <xf numFmtId="18" fontId="0" fillId="5" borderId="0" xfId="0" applyNumberFormat="1" applyFill="1"/>
    <xf numFmtId="2" fontId="0" fillId="5" borderId="0" xfId="0" applyNumberFormat="1" applyFill="1"/>
    <xf numFmtId="20" fontId="0" fillId="5" borderId="0" xfId="0" applyNumberFormat="1" applyFill="1"/>
    <xf numFmtId="0" fontId="1" fillId="0" borderId="1" xfId="0" applyFont="1" applyFill="1" applyBorder="1" applyAlignment="1">
      <alignment horizontal="center"/>
    </xf>
    <xf numFmtId="0" fontId="0" fillId="0" borderId="0" xfId="0" applyFill="1"/>
    <xf numFmtId="14" fontId="0" fillId="6" borderId="0" xfId="0" applyNumberFormat="1" applyFill="1"/>
    <xf numFmtId="0" fontId="0" fillId="6" borderId="0" xfId="0" applyFill="1"/>
    <xf numFmtId="18" fontId="0" fillId="6" borderId="0" xfId="0" applyNumberFormat="1" applyFill="1"/>
    <xf numFmtId="2" fontId="0" fillId="6" borderId="0" xfId="0" applyNumberFormat="1" applyFill="1"/>
    <xf numFmtId="20" fontId="0" fillId="6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1"/>
  <sheetViews>
    <sheetView tabSelected="1" topLeftCell="A22" zoomScale="70" zoomScaleNormal="70" workbookViewId="0">
      <selection activeCell="A50" sqref="A50"/>
    </sheetView>
  </sheetViews>
  <sheetFormatPr defaultRowHeight="15" x14ac:dyDescent="0.25"/>
  <cols>
    <col min="1" max="1" width="15" customWidth="1"/>
    <col min="2" max="2" width="19" customWidth="1"/>
    <col min="3" max="4" width="12" customWidth="1"/>
    <col min="5" max="5" width="19.28515625" customWidth="1"/>
    <col min="6" max="6" width="41.42578125" customWidth="1"/>
    <col min="7" max="7" width="87.7109375" bestFit="1" customWidth="1"/>
    <col min="9" max="9" width="26.7109375" customWidth="1"/>
    <col min="11" max="11" width="18.7109375" customWidth="1"/>
  </cols>
  <sheetData>
    <row r="1" spans="1:8" x14ac:dyDescent="0.25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</row>
    <row r="2" spans="1:8" x14ac:dyDescent="0.25">
      <c r="A2" s="12">
        <v>45736</v>
      </c>
      <c r="B2" s="13">
        <v>3</v>
      </c>
      <c r="C2" s="13"/>
      <c r="D2" s="13"/>
      <c r="E2" s="13"/>
      <c r="F2" s="13" t="s">
        <v>7</v>
      </c>
      <c r="G2" s="13"/>
    </row>
    <row r="3" spans="1:8" x14ac:dyDescent="0.25">
      <c r="A3" s="12">
        <v>45736</v>
      </c>
      <c r="B3" s="13">
        <v>3</v>
      </c>
      <c r="C3" s="14">
        <v>0.41666666666666669</v>
      </c>
      <c r="D3" s="14">
        <v>0.45833333333333331</v>
      </c>
      <c r="E3" s="15">
        <f t="shared" ref="E3:E6" si="0">((D3-C3)*24)</f>
        <v>0.99999999999999911</v>
      </c>
      <c r="F3" s="13" t="s">
        <v>8</v>
      </c>
      <c r="G3" s="13" t="s">
        <v>58</v>
      </c>
    </row>
    <row r="4" spans="1:8" x14ac:dyDescent="0.25">
      <c r="A4" s="12">
        <v>45736</v>
      </c>
      <c r="B4" s="13">
        <v>3</v>
      </c>
      <c r="C4" s="14">
        <v>0.45833333333333331</v>
      </c>
      <c r="D4" s="14">
        <v>0.58333333333333337</v>
      </c>
      <c r="E4" s="15">
        <f t="shared" si="0"/>
        <v>3.0000000000000013</v>
      </c>
      <c r="F4" s="13" t="s">
        <v>59</v>
      </c>
      <c r="G4" s="13" t="s">
        <v>9</v>
      </c>
    </row>
    <row r="5" spans="1:8" x14ac:dyDescent="0.25">
      <c r="A5" s="12">
        <v>45736</v>
      </c>
      <c r="B5" s="13">
        <v>3</v>
      </c>
      <c r="C5" s="14">
        <v>0.58333333333333337</v>
      </c>
      <c r="D5" s="14">
        <v>0.66666666666666663</v>
      </c>
      <c r="E5" s="15">
        <f t="shared" si="0"/>
        <v>1.9999999999999982</v>
      </c>
      <c r="F5" s="13" t="s">
        <v>10</v>
      </c>
      <c r="G5" s="13" t="s">
        <v>11</v>
      </c>
    </row>
    <row r="6" spans="1:8" x14ac:dyDescent="0.25">
      <c r="A6" s="12">
        <v>45738</v>
      </c>
      <c r="B6" s="13">
        <v>3</v>
      </c>
      <c r="C6" s="14">
        <v>0.375</v>
      </c>
      <c r="D6" s="14">
        <v>0.5</v>
      </c>
      <c r="E6" s="15">
        <f t="shared" si="0"/>
        <v>3</v>
      </c>
      <c r="F6" s="13" t="s">
        <v>61</v>
      </c>
      <c r="G6" s="13" t="s">
        <v>60</v>
      </c>
    </row>
    <row r="7" spans="1:8" x14ac:dyDescent="0.25">
      <c r="A7" s="12">
        <v>45739</v>
      </c>
      <c r="B7" s="13">
        <v>3</v>
      </c>
      <c r="C7" s="16">
        <v>0.54166666666666663</v>
      </c>
      <c r="D7" s="14">
        <v>0.64583333333333337</v>
      </c>
      <c r="E7" s="15">
        <f>((D7-C7)*24)</f>
        <v>2.5000000000000018</v>
      </c>
      <c r="F7" s="13" t="s">
        <v>12</v>
      </c>
      <c r="G7" s="13" t="s">
        <v>13</v>
      </c>
    </row>
    <row r="8" spans="1:8" x14ac:dyDescent="0.25">
      <c r="A8" s="9" t="s">
        <v>14</v>
      </c>
      <c r="B8" s="9"/>
      <c r="C8" s="9"/>
      <c r="D8" s="9"/>
      <c r="E8" s="8">
        <f>SUM(E3,E4,E5,E7,E6)</f>
        <v>11.5</v>
      </c>
      <c r="F8" s="9"/>
      <c r="G8" s="9"/>
      <c r="H8" s="18"/>
    </row>
    <row r="9" spans="1:8" x14ac:dyDescent="0.25">
      <c r="A9" s="12">
        <v>45740</v>
      </c>
      <c r="B9" s="13">
        <v>4</v>
      </c>
      <c r="C9" s="14">
        <v>0.625</v>
      </c>
      <c r="D9" s="14">
        <v>0.75</v>
      </c>
      <c r="E9" s="15">
        <f>((D9-C9)*24)</f>
        <v>3</v>
      </c>
      <c r="F9" s="13" t="s">
        <v>15</v>
      </c>
      <c r="G9" s="13" t="s">
        <v>62</v>
      </c>
    </row>
    <row r="10" spans="1:8" x14ac:dyDescent="0.25">
      <c r="A10" s="12">
        <v>45740</v>
      </c>
      <c r="B10" s="13">
        <v>4</v>
      </c>
      <c r="C10" s="14">
        <v>0.83333333333333337</v>
      </c>
      <c r="D10" s="14">
        <v>0.95833333333333337</v>
      </c>
      <c r="E10" s="15">
        <f t="shared" ref="E10:E15" si="1">((D10-C10)*24)</f>
        <v>3</v>
      </c>
      <c r="F10" s="13" t="s">
        <v>15</v>
      </c>
      <c r="G10" s="13" t="s">
        <v>63</v>
      </c>
    </row>
    <row r="11" spans="1:8" x14ac:dyDescent="0.25">
      <c r="A11" s="12">
        <v>45741</v>
      </c>
      <c r="B11" s="13">
        <v>4</v>
      </c>
      <c r="C11" s="14">
        <v>0.375</v>
      </c>
      <c r="D11" s="14">
        <v>0.5</v>
      </c>
      <c r="E11" s="15">
        <f t="shared" si="1"/>
        <v>3</v>
      </c>
      <c r="F11" s="13" t="s">
        <v>16</v>
      </c>
      <c r="G11" s="13" t="s">
        <v>17</v>
      </c>
    </row>
    <row r="12" spans="1:8" x14ac:dyDescent="0.25">
      <c r="A12" s="12">
        <v>45743</v>
      </c>
      <c r="B12" s="13">
        <v>4</v>
      </c>
      <c r="C12" s="14">
        <v>0.54166666666666663</v>
      </c>
      <c r="D12" s="14">
        <v>0.58333333333333337</v>
      </c>
      <c r="E12" s="15">
        <f t="shared" si="1"/>
        <v>1.0000000000000018</v>
      </c>
      <c r="F12" s="13" t="s">
        <v>64</v>
      </c>
      <c r="G12" s="13" t="s">
        <v>65</v>
      </c>
    </row>
    <row r="13" spans="1:8" x14ac:dyDescent="0.25">
      <c r="A13" s="12">
        <v>45743</v>
      </c>
      <c r="B13" s="13">
        <v>4</v>
      </c>
      <c r="C13" s="14">
        <v>0.58333333333333337</v>
      </c>
      <c r="D13" s="14">
        <v>0.66666666666666663</v>
      </c>
      <c r="E13" s="15">
        <f t="shared" si="1"/>
        <v>1.9999999999999982</v>
      </c>
      <c r="F13" s="13" t="s">
        <v>10</v>
      </c>
      <c r="G13" s="13" t="s">
        <v>11</v>
      </c>
    </row>
    <row r="14" spans="1:8" x14ac:dyDescent="0.25">
      <c r="A14" s="12">
        <v>45744</v>
      </c>
      <c r="B14" s="13">
        <v>4</v>
      </c>
      <c r="C14" s="14">
        <v>0.54166666666666663</v>
      </c>
      <c r="D14" s="14">
        <v>0.625</v>
      </c>
      <c r="E14" s="15">
        <f t="shared" si="1"/>
        <v>2.0000000000000009</v>
      </c>
      <c r="F14" s="13" t="s">
        <v>67</v>
      </c>
      <c r="G14" s="13" t="s">
        <v>68</v>
      </c>
    </row>
    <row r="15" spans="1:8" x14ac:dyDescent="0.25">
      <c r="A15" s="12">
        <v>45746</v>
      </c>
      <c r="B15" s="13">
        <v>4</v>
      </c>
      <c r="C15" s="14">
        <v>0.66666666666666663</v>
      </c>
      <c r="D15" s="14">
        <v>0.72916666666666663</v>
      </c>
      <c r="E15" s="15">
        <f>((D15-C15)*24)</f>
        <v>1.5</v>
      </c>
      <c r="F15" s="13" t="s">
        <v>18</v>
      </c>
      <c r="G15" s="13" t="s">
        <v>19</v>
      </c>
    </row>
    <row r="16" spans="1:8" x14ac:dyDescent="0.25">
      <c r="A16" s="12">
        <v>45746</v>
      </c>
      <c r="B16" s="13">
        <v>4</v>
      </c>
      <c r="C16" s="14">
        <v>0.75</v>
      </c>
      <c r="D16" s="14">
        <v>0.8125</v>
      </c>
      <c r="E16" s="15">
        <f>((D16-C16)*24)</f>
        <v>1.5</v>
      </c>
      <c r="F16" s="13" t="s">
        <v>12</v>
      </c>
      <c r="G16" s="13" t="s">
        <v>20</v>
      </c>
    </row>
    <row r="17" spans="1:8" x14ac:dyDescent="0.25">
      <c r="A17" s="9" t="s">
        <v>14</v>
      </c>
      <c r="B17" s="9"/>
      <c r="C17" s="9"/>
      <c r="D17" s="9"/>
      <c r="E17" s="8">
        <f>SUM(E9, E10, E11,E12,E13,E15,E16)</f>
        <v>15</v>
      </c>
      <c r="F17" s="9"/>
      <c r="G17" s="9"/>
      <c r="H17" s="18"/>
    </row>
    <row r="18" spans="1:8" x14ac:dyDescent="0.25">
      <c r="A18" s="12">
        <v>45747</v>
      </c>
      <c r="B18" s="13">
        <v>5</v>
      </c>
      <c r="C18" s="14">
        <v>0.71736111111111112</v>
      </c>
      <c r="D18" s="14">
        <v>0.81319444444444444</v>
      </c>
      <c r="E18" s="15">
        <f>((D18-C18)*24)</f>
        <v>2.2999999999999998</v>
      </c>
      <c r="F18" s="13" t="s">
        <v>69</v>
      </c>
      <c r="G18" s="13" t="s">
        <v>70</v>
      </c>
    </row>
    <row r="19" spans="1:8" x14ac:dyDescent="0.25">
      <c r="A19" s="12">
        <v>45749</v>
      </c>
      <c r="B19" s="13">
        <v>5</v>
      </c>
      <c r="C19" s="14">
        <v>0.85486111111111107</v>
      </c>
      <c r="D19" s="14">
        <v>0.95763888888888893</v>
      </c>
      <c r="E19" s="15">
        <f>((D19-C19)*24)</f>
        <v>2.4666666666666686</v>
      </c>
      <c r="F19" s="13" t="s">
        <v>71</v>
      </c>
      <c r="G19" s="13" t="s">
        <v>72</v>
      </c>
    </row>
    <row r="20" spans="1:8" x14ac:dyDescent="0.25">
      <c r="A20" s="12">
        <v>45750</v>
      </c>
      <c r="B20" s="13">
        <v>5</v>
      </c>
      <c r="C20" s="14">
        <v>0.54166666666666663</v>
      </c>
      <c r="D20" s="14">
        <v>0.58333333333333337</v>
      </c>
      <c r="E20" s="15">
        <f>((D20-C20)*24)</f>
        <v>1.0000000000000018</v>
      </c>
      <c r="F20" s="13" t="s">
        <v>21</v>
      </c>
      <c r="G20" s="13" t="s">
        <v>22</v>
      </c>
    </row>
    <row r="21" spans="1:8" x14ac:dyDescent="0.25">
      <c r="A21" s="12">
        <v>45750</v>
      </c>
      <c r="B21" s="13">
        <v>5</v>
      </c>
      <c r="C21" s="14">
        <v>0.58333333333333337</v>
      </c>
      <c r="D21" s="14">
        <v>0.66666666666666663</v>
      </c>
      <c r="E21" s="15">
        <f>((D21-C21)*24)</f>
        <v>1.9999999999999982</v>
      </c>
      <c r="F21" s="13" t="s">
        <v>10</v>
      </c>
      <c r="G21" s="13"/>
    </row>
    <row r="22" spans="1:8" x14ac:dyDescent="0.25">
      <c r="A22" s="12">
        <v>45750</v>
      </c>
      <c r="B22" s="13">
        <v>5</v>
      </c>
      <c r="C22" s="14">
        <v>0.66666666666666663</v>
      </c>
      <c r="D22" s="14">
        <v>0.83333333333333337</v>
      </c>
      <c r="E22" s="15">
        <f>((D22-C22)*24)</f>
        <v>4.0000000000000018</v>
      </c>
      <c r="F22" s="13" t="s">
        <v>16</v>
      </c>
      <c r="G22" s="13" t="s">
        <v>66</v>
      </c>
    </row>
    <row r="23" spans="1:8" x14ac:dyDescent="0.25">
      <c r="A23" s="12">
        <v>45753</v>
      </c>
      <c r="B23" s="13">
        <v>5</v>
      </c>
      <c r="C23" s="14">
        <v>0.75</v>
      </c>
      <c r="D23" s="14">
        <v>0.8125</v>
      </c>
      <c r="E23" s="15">
        <f>((D23-C23)*24)</f>
        <v>1.5</v>
      </c>
      <c r="F23" s="13" t="s">
        <v>12</v>
      </c>
      <c r="G23" s="13" t="s">
        <v>23</v>
      </c>
    </row>
    <row r="24" spans="1:8" x14ac:dyDescent="0.25">
      <c r="A24" s="9" t="s">
        <v>14</v>
      </c>
      <c r="B24" s="9"/>
      <c r="C24" s="9"/>
      <c r="D24" s="9"/>
      <c r="E24" s="8">
        <f>SUM(E18:E23)</f>
        <v>13.266666666666669</v>
      </c>
    </row>
    <row r="25" spans="1:8" x14ac:dyDescent="0.25">
      <c r="A25" s="12">
        <v>45754</v>
      </c>
      <c r="B25" s="13">
        <v>6</v>
      </c>
      <c r="C25" s="14">
        <v>0.79166666666666663</v>
      </c>
      <c r="D25" s="14">
        <v>0.85416666666666663</v>
      </c>
      <c r="E25" s="15">
        <f>((D25-C25)*24)</f>
        <v>1.5</v>
      </c>
      <c r="F25" s="13" t="s">
        <v>24</v>
      </c>
      <c r="G25" s="13"/>
    </row>
    <row r="26" spans="1:8" x14ac:dyDescent="0.25">
      <c r="A26" s="12">
        <v>45755</v>
      </c>
      <c r="B26" s="13">
        <v>6</v>
      </c>
      <c r="C26" s="14">
        <v>0.70833333333333337</v>
      </c>
      <c r="D26" s="14">
        <v>0.875</v>
      </c>
      <c r="E26" s="15">
        <f>((D26-C26)*24)</f>
        <v>3.9999999999999991</v>
      </c>
      <c r="F26" s="13" t="s">
        <v>16</v>
      </c>
      <c r="G26" s="13" t="s">
        <v>25</v>
      </c>
    </row>
    <row r="27" spans="1:8" x14ac:dyDescent="0.25">
      <c r="A27" s="19">
        <v>45755</v>
      </c>
      <c r="B27" s="20">
        <v>6</v>
      </c>
      <c r="C27" s="21">
        <v>0.55555555555555558</v>
      </c>
      <c r="D27" s="21">
        <v>0.70833333333333337</v>
      </c>
      <c r="E27" s="22">
        <f>((D27-C27)*24)</f>
        <v>3.666666666666667</v>
      </c>
      <c r="F27" s="20" t="s">
        <v>74</v>
      </c>
      <c r="G27" s="20" t="s">
        <v>75</v>
      </c>
    </row>
    <row r="28" spans="1:8" x14ac:dyDescent="0.25">
      <c r="A28" s="12">
        <v>45757</v>
      </c>
      <c r="B28" s="13">
        <v>6</v>
      </c>
      <c r="C28" s="14">
        <v>0.39583333333333331</v>
      </c>
      <c r="D28" s="14">
        <v>0.45833333333333331</v>
      </c>
      <c r="E28" s="15">
        <f>((D28-C28)*24)</f>
        <v>1.5</v>
      </c>
      <c r="F28" s="13" t="s">
        <v>26</v>
      </c>
      <c r="G28" s="13"/>
    </row>
    <row r="29" spans="1:8" x14ac:dyDescent="0.25">
      <c r="A29" s="12">
        <v>45760</v>
      </c>
      <c r="B29" s="13">
        <v>6</v>
      </c>
      <c r="C29" s="14">
        <v>0.79166666666666663</v>
      </c>
      <c r="D29" s="14">
        <v>0.85416666666666663</v>
      </c>
      <c r="E29" s="15">
        <f>((D29-C29)*24)</f>
        <v>1.5</v>
      </c>
      <c r="F29" s="13" t="s">
        <v>12</v>
      </c>
      <c r="G29" s="13" t="s">
        <v>27</v>
      </c>
    </row>
    <row r="30" spans="1:8" x14ac:dyDescent="0.25">
      <c r="A30" s="9" t="s">
        <v>14</v>
      </c>
      <c r="B30" s="9"/>
      <c r="C30" s="9"/>
      <c r="D30" s="9"/>
      <c r="E30" s="8">
        <f>SUM(E25:E29)</f>
        <v>12.166666666666666</v>
      </c>
    </row>
    <row r="31" spans="1:8" x14ac:dyDescent="0.25">
      <c r="A31" s="4">
        <v>45762</v>
      </c>
      <c r="B31" s="5" t="s">
        <v>28</v>
      </c>
      <c r="C31" s="6">
        <v>0.77083333333333337</v>
      </c>
      <c r="D31" s="6">
        <v>0.85416666666666663</v>
      </c>
      <c r="E31" s="7">
        <f t="shared" ref="E31:E38" si="2">((D31-C31)*24)</f>
        <v>1.9999999999999982</v>
      </c>
      <c r="F31" s="5" t="s">
        <v>18</v>
      </c>
      <c r="G31" s="5" t="s">
        <v>29</v>
      </c>
    </row>
    <row r="32" spans="1:8" x14ac:dyDescent="0.25">
      <c r="A32" s="4">
        <v>45763</v>
      </c>
      <c r="B32" s="5" t="s">
        <v>28</v>
      </c>
      <c r="C32" s="6">
        <v>0.375</v>
      </c>
      <c r="D32" s="6">
        <v>0.5625</v>
      </c>
      <c r="E32" s="7">
        <f t="shared" si="2"/>
        <v>4.5</v>
      </c>
      <c r="F32" s="5" t="s">
        <v>16</v>
      </c>
      <c r="G32" s="5" t="s">
        <v>30</v>
      </c>
    </row>
    <row r="33" spans="1:7" x14ac:dyDescent="0.25">
      <c r="A33" s="4">
        <v>45765</v>
      </c>
      <c r="B33" s="5" t="s">
        <v>28</v>
      </c>
      <c r="C33" s="6">
        <v>0.75</v>
      </c>
      <c r="D33" s="6">
        <v>0.91666666666666663</v>
      </c>
      <c r="E33" s="7">
        <f t="shared" si="2"/>
        <v>3.9999999999999991</v>
      </c>
      <c r="F33" s="5" t="s">
        <v>16</v>
      </c>
      <c r="G33" s="5" t="s">
        <v>30</v>
      </c>
    </row>
    <row r="34" spans="1:7" x14ac:dyDescent="0.25">
      <c r="A34" s="4">
        <v>45767</v>
      </c>
      <c r="B34" s="5" t="s">
        <v>28</v>
      </c>
      <c r="C34" s="6">
        <v>0.58333333333333337</v>
      </c>
      <c r="D34" s="6">
        <v>0.64583333333333337</v>
      </c>
      <c r="E34" s="7">
        <f t="shared" si="2"/>
        <v>1.5</v>
      </c>
      <c r="F34" s="5" t="s">
        <v>12</v>
      </c>
      <c r="G34" s="5" t="s">
        <v>31</v>
      </c>
    </row>
    <row r="35" spans="1:7" x14ac:dyDescent="0.25">
      <c r="A35" s="4">
        <v>45768</v>
      </c>
      <c r="B35" s="5" t="s">
        <v>28</v>
      </c>
      <c r="C35" s="6">
        <v>0.70833333333333337</v>
      </c>
      <c r="D35" s="6">
        <v>0.83333333333333337</v>
      </c>
      <c r="E35" s="7">
        <f t="shared" si="2"/>
        <v>3</v>
      </c>
      <c r="F35" s="5" t="s">
        <v>16</v>
      </c>
      <c r="G35" s="5" t="s">
        <v>32</v>
      </c>
    </row>
    <row r="36" spans="1:7" x14ac:dyDescent="0.25">
      <c r="A36" s="4">
        <v>45769</v>
      </c>
      <c r="B36" s="5" t="s">
        <v>28</v>
      </c>
      <c r="C36" s="6">
        <v>0.75</v>
      </c>
      <c r="D36" s="6">
        <v>0.85416666666666663</v>
      </c>
      <c r="E36" s="7">
        <f t="shared" si="2"/>
        <v>2.4999999999999991</v>
      </c>
      <c r="F36" s="5" t="s">
        <v>18</v>
      </c>
      <c r="G36" s="5" t="s">
        <v>33</v>
      </c>
    </row>
    <row r="37" spans="1:7" x14ac:dyDescent="0.25">
      <c r="A37" s="4">
        <v>45771</v>
      </c>
      <c r="B37" s="5" t="s">
        <v>28</v>
      </c>
      <c r="C37" s="6">
        <v>0.66666666666666663</v>
      </c>
      <c r="D37" s="6">
        <v>0.83333333333333337</v>
      </c>
      <c r="E37" s="7">
        <f t="shared" si="2"/>
        <v>4.0000000000000018</v>
      </c>
      <c r="F37" s="5" t="s">
        <v>16</v>
      </c>
      <c r="G37" s="5" t="s">
        <v>32</v>
      </c>
    </row>
    <row r="38" spans="1:7" x14ac:dyDescent="0.25">
      <c r="A38" s="4">
        <v>45774</v>
      </c>
      <c r="B38" s="5" t="s">
        <v>28</v>
      </c>
      <c r="C38" s="6">
        <v>0.70833333333333337</v>
      </c>
      <c r="D38" s="6">
        <v>0.77083333333333337</v>
      </c>
      <c r="E38" s="7">
        <f t="shared" si="2"/>
        <v>1.5</v>
      </c>
      <c r="F38" s="5" t="s">
        <v>12</v>
      </c>
      <c r="G38" s="5" t="s">
        <v>34</v>
      </c>
    </row>
    <row r="39" spans="1:7" x14ac:dyDescent="0.25">
      <c r="A39" s="9" t="s">
        <v>14</v>
      </c>
      <c r="B39" s="9"/>
      <c r="C39" s="9"/>
      <c r="D39" s="9"/>
      <c r="E39" s="8">
        <f>SUM(E31:E38)</f>
        <v>23</v>
      </c>
    </row>
    <row r="40" spans="1:7" x14ac:dyDescent="0.25">
      <c r="A40" s="19">
        <v>45778</v>
      </c>
      <c r="B40" s="20">
        <v>7</v>
      </c>
      <c r="C40" s="21">
        <v>0.54166666666666663</v>
      </c>
      <c r="D40" s="21">
        <v>0.58333333333333337</v>
      </c>
      <c r="E40" s="22">
        <f>((D40-C40)*24)</f>
        <v>1.0000000000000018</v>
      </c>
      <c r="F40" s="20" t="s">
        <v>35</v>
      </c>
      <c r="G40" s="20" t="s">
        <v>36</v>
      </c>
    </row>
    <row r="41" spans="1:7" x14ac:dyDescent="0.25">
      <c r="A41" s="19">
        <v>45780</v>
      </c>
      <c r="B41" s="20">
        <v>7</v>
      </c>
      <c r="C41" s="21">
        <v>0.70833333333333337</v>
      </c>
      <c r="D41" s="21">
        <v>0.83333333333333337</v>
      </c>
      <c r="E41" s="22">
        <f>((D41-C41)*24)</f>
        <v>3</v>
      </c>
      <c r="F41" s="20" t="s">
        <v>37</v>
      </c>
      <c r="G41" s="20" t="s">
        <v>38</v>
      </c>
    </row>
    <row r="42" spans="1:7" x14ac:dyDescent="0.25">
      <c r="A42" s="19">
        <v>45781</v>
      </c>
      <c r="B42" s="20">
        <v>7</v>
      </c>
      <c r="C42" s="21">
        <v>0.70833333333333337</v>
      </c>
      <c r="D42" s="21">
        <v>0.77083333333333337</v>
      </c>
      <c r="E42" s="22">
        <f>((D42-C42)*24)</f>
        <v>1.5</v>
      </c>
      <c r="F42" s="20" t="s">
        <v>12</v>
      </c>
      <c r="G42" s="20" t="s">
        <v>39</v>
      </c>
    </row>
    <row r="43" spans="1:7" x14ac:dyDescent="0.25">
      <c r="A43" s="9" t="s">
        <v>14</v>
      </c>
      <c r="B43" s="9"/>
      <c r="C43" s="9"/>
      <c r="D43" s="9"/>
      <c r="E43" s="8">
        <f>SUM(E40:E42)</f>
        <v>5.5000000000000018</v>
      </c>
    </row>
    <row r="44" spans="1:7" x14ac:dyDescent="0.25">
      <c r="A44" s="19">
        <v>45792</v>
      </c>
      <c r="B44" s="20">
        <v>8</v>
      </c>
      <c r="C44" s="21">
        <v>0.5</v>
      </c>
      <c r="D44" s="21">
        <v>0.64583333333333337</v>
      </c>
      <c r="E44" s="22">
        <f>((D44-C44)*24)</f>
        <v>3.5000000000000009</v>
      </c>
      <c r="F44" s="20" t="s">
        <v>40</v>
      </c>
      <c r="G44" s="20" t="s">
        <v>41</v>
      </c>
    </row>
    <row r="45" spans="1:7" x14ac:dyDescent="0.25">
      <c r="A45" s="19">
        <v>45794</v>
      </c>
      <c r="B45" s="20">
        <v>8</v>
      </c>
      <c r="C45" s="21">
        <v>0.625</v>
      </c>
      <c r="D45" s="23">
        <v>0.70833333333333337</v>
      </c>
      <c r="E45" s="22">
        <f>((D45-C45)*24)</f>
        <v>2.0000000000000009</v>
      </c>
      <c r="F45" s="20" t="s">
        <v>73</v>
      </c>
      <c r="G45" s="20"/>
    </row>
    <row r="46" spans="1:7" x14ac:dyDescent="0.25">
      <c r="A46" s="19">
        <v>45795</v>
      </c>
      <c r="B46" s="20">
        <v>8</v>
      </c>
      <c r="C46" s="21">
        <v>0.70833333333333337</v>
      </c>
      <c r="D46" s="21">
        <v>0.79166666666666663</v>
      </c>
      <c r="E46" s="22">
        <f>((D46-C46)*24)</f>
        <v>1.9999999999999982</v>
      </c>
      <c r="F46" s="20" t="s">
        <v>12</v>
      </c>
      <c r="G46" s="20" t="s">
        <v>42</v>
      </c>
    </row>
    <row r="47" spans="1:7" x14ac:dyDescent="0.25">
      <c r="A47" s="9" t="s">
        <v>14</v>
      </c>
      <c r="B47" s="9"/>
      <c r="C47" s="9"/>
      <c r="D47" s="9"/>
      <c r="E47" s="8">
        <f>SUM(E44:E46)</f>
        <v>7.5</v>
      </c>
    </row>
    <row r="48" spans="1:7" x14ac:dyDescent="0.25">
      <c r="A48" s="2">
        <v>45799</v>
      </c>
      <c r="B48">
        <v>9</v>
      </c>
      <c r="C48" s="3">
        <v>0.75</v>
      </c>
      <c r="D48" s="3">
        <v>0.83333333333333337</v>
      </c>
      <c r="E48" s="1">
        <f t="shared" ref="E48:E53" si="3">((D48-C48)*24)</f>
        <v>2.0000000000000009</v>
      </c>
      <c r="F48" t="s">
        <v>43</v>
      </c>
      <c r="G48" t="s">
        <v>78</v>
      </c>
    </row>
    <row r="49" spans="1:9" x14ac:dyDescent="0.25">
      <c r="A49" s="2">
        <v>45805</v>
      </c>
      <c r="B49">
        <v>9</v>
      </c>
      <c r="C49" s="3">
        <v>0.79166666666666663</v>
      </c>
      <c r="D49" s="3">
        <v>0.85416666666666663</v>
      </c>
      <c r="E49" s="1">
        <f>((D49-C49)*24)</f>
        <v>1.5</v>
      </c>
      <c r="F49" t="s">
        <v>18</v>
      </c>
      <c r="G49" t="s">
        <v>44</v>
      </c>
    </row>
    <row r="50" spans="1:9" x14ac:dyDescent="0.25">
      <c r="A50" s="2">
        <v>45805</v>
      </c>
      <c r="B50">
        <v>9</v>
      </c>
      <c r="C50" s="3">
        <v>0.91666666666666663</v>
      </c>
      <c r="D50" s="3">
        <v>0.95833333333333337</v>
      </c>
      <c r="E50" s="1">
        <f>((D50-C50)*24)</f>
        <v>1.0000000000000018</v>
      </c>
      <c r="F50" t="s">
        <v>45</v>
      </c>
      <c r="G50" t="s">
        <v>46</v>
      </c>
    </row>
    <row r="51" spans="1:9" x14ac:dyDescent="0.25">
      <c r="A51" s="2">
        <v>45806</v>
      </c>
      <c r="B51">
        <v>9</v>
      </c>
      <c r="C51" s="3">
        <v>0.5</v>
      </c>
      <c r="D51" s="3">
        <v>0.58333333333333337</v>
      </c>
      <c r="E51" s="1">
        <f>((D51-C51)*24)</f>
        <v>2.0000000000000009</v>
      </c>
      <c r="F51" t="s">
        <v>47</v>
      </c>
      <c r="G51" t="s">
        <v>48</v>
      </c>
    </row>
    <row r="52" spans="1:9" x14ac:dyDescent="0.25">
      <c r="A52" s="2">
        <v>45806</v>
      </c>
      <c r="B52">
        <v>9</v>
      </c>
      <c r="C52" s="3">
        <v>0.75</v>
      </c>
      <c r="D52" s="3">
        <v>0.875</v>
      </c>
      <c r="E52" s="1">
        <f>((D52-C52)*24)</f>
        <v>3</v>
      </c>
      <c r="F52" t="s">
        <v>49</v>
      </c>
      <c r="G52" t="s">
        <v>77</v>
      </c>
    </row>
    <row r="53" spans="1:9" x14ac:dyDescent="0.25">
      <c r="A53" s="2">
        <v>45809</v>
      </c>
      <c r="B53">
        <v>9</v>
      </c>
      <c r="C53" s="3">
        <v>0.66666666666666663</v>
      </c>
      <c r="D53" s="3">
        <v>0.77083333333333337</v>
      </c>
      <c r="E53" s="1">
        <f>((D53-C53)*24)</f>
        <v>2.5000000000000018</v>
      </c>
      <c r="F53" t="s">
        <v>12</v>
      </c>
      <c r="G53" t="s">
        <v>50</v>
      </c>
      <c r="I53" s="1"/>
    </row>
    <row r="54" spans="1:9" x14ac:dyDescent="0.25">
      <c r="A54" s="9" t="s">
        <v>51</v>
      </c>
      <c r="B54" s="9"/>
      <c r="C54" s="9"/>
      <c r="D54" s="9"/>
      <c r="E54" s="8">
        <f>SUM(E48:E53)</f>
        <v>12.000000000000005</v>
      </c>
    </row>
    <row r="57" spans="1:9" x14ac:dyDescent="0.25">
      <c r="A57" s="2">
        <v>45810</v>
      </c>
      <c r="B57">
        <v>10</v>
      </c>
      <c r="C57" s="3">
        <v>0.5</v>
      </c>
      <c r="D57" s="3">
        <v>0.625</v>
      </c>
      <c r="E57" s="1">
        <f>((D57-C57)*24)</f>
        <v>3</v>
      </c>
      <c r="F57" t="s">
        <v>52</v>
      </c>
      <c r="G57" t="s">
        <v>53</v>
      </c>
    </row>
    <row r="58" spans="1:9" x14ac:dyDescent="0.25">
      <c r="A58" s="2">
        <v>45814</v>
      </c>
      <c r="B58">
        <v>10</v>
      </c>
      <c r="C58" s="3">
        <v>0.58333333333333337</v>
      </c>
      <c r="D58" s="3">
        <v>0.66666666666666663</v>
      </c>
      <c r="E58" s="1">
        <f t="shared" ref="E58:E59" si="4">((D58-C58)*24)</f>
        <v>1.9999999999999982</v>
      </c>
      <c r="F58" t="s">
        <v>10</v>
      </c>
    </row>
    <row r="59" spans="1:9" x14ac:dyDescent="0.25">
      <c r="A59" s="2">
        <v>45816</v>
      </c>
      <c r="B59">
        <v>10</v>
      </c>
      <c r="C59" s="3">
        <v>0.75</v>
      </c>
      <c r="D59" s="3">
        <v>0.91666666666666663</v>
      </c>
      <c r="E59" s="1">
        <f t="shared" si="4"/>
        <v>3.9999999999999991</v>
      </c>
      <c r="F59" t="s">
        <v>12</v>
      </c>
      <c r="G59" t="s">
        <v>54</v>
      </c>
    </row>
    <row r="60" spans="1:9" x14ac:dyDescent="0.25">
      <c r="A60" s="10" t="s">
        <v>14</v>
      </c>
      <c r="B60" s="10"/>
      <c r="C60" s="10"/>
      <c r="D60" s="10"/>
      <c r="E60" s="11">
        <f>SUM(E57:E59)</f>
        <v>8.9999999999999964</v>
      </c>
    </row>
    <row r="62" spans="1:9" x14ac:dyDescent="0.25">
      <c r="A62" s="2">
        <v>45821</v>
      </c>
      <c r="B62">
        <v>11</v>
      </c>
      <c r="C62" s="3">
        <v>0.70833333333333337</v>
      </c>
      <c r="D62" s="3">
        <v>0.83333333333333337</v>
      </c>
      <c r="E62" s="1">
        <f>((D62-C62)*24)</f>
        <v>3</v>
      </c>
      <c r="F62" t="s">
        <v>52</v>
      </c>
    </row>
    <row r="63" spans="1:9" x14ac:dyDescent="0.25">
      <c r="A63" s="2">
        <v>45822</v>
      </c>
      <c r="B63">
        <v>11</v>
      </c>
      <c r="C63" s="3">
        <v>0.75</v>
      </c>
      <c r="D63" s="3">
        <v>0.875</v>
      </c>
      <c r="E63" s="1">
        <f t="shared" ref="E63:E65" si="5">((D63-C63)*24)</f>
        <v>3</v>
      </c>
      <c r="F63" t="s">
        <v>55</v>
      </c>
    </row>
    <row r="64" spans="1:9" x14ac:dyDescent="0.25">
      <c r="A64" s="2">
        <v>45823</v>
      </c>
      <c r="B64">
        <v>11</v>
      </c>
      <c r="C64" s="3">
        <v>0.70833333333333337</v>
      </c>
      <c r="D64" s="3">
        <v>0.79166666666666663</v>
      </c>
      <c r="E64" s="1">
        <f t="shared" si="5"/>
        <v>1.9999999999999982</v>
      </c>
      <c r="F64" t="s">
        <v>12</v>
      </c>
      <c r="G64" t="s">
        <v>56</v>
      </c>
    </row>
    <row r="65" spans="1:7" x14ac:dyDescent="0.25">
      <c r="A65" s="2">
        <v>45826</v>
      </c>
      <c r="B65">
        <v>11</v>
      </c>
      <c r="C65" s="3">
        <v>0.58333333333333337</v>
      </c>
      <c r="D65" s="3">
        <v>0.625</v>
      </c>
      <c r="E65" s="1">
        <f t="shared" si="5"/>
        <v>0.99999999999999911</v>
      </c>
      <c r="F65" t="s">
        <v>76</v>
      </c>
      <c r="G65" t="s">
        <v>57</v>
      </c>
    </row>
    <row r="66" spans="1:7" x14ac:dyDescent="0.25">
      <c r="A66" s="10" t="s">
        <v>14</v>
      </c>
      <c r="B66" s="10"/>
      <c r="C66" s="10"/>
      <c r="D66" s="10"/>
      <c r="E66" s="11">
        <f>SUM(E62:E64)</f>
        <v>7.9999999999999982</v>
      </c>
    </row>
    <row r="71" spans="1:7" x14ac:dyDescent="0.25">
      <c r="E71" s="11"/>
    </row>
  </sheetData>
  <phoneticPr fontId="2" type="noConversion"/>
  <dataValidations disablePrompts="1" count="1">
    <dataValidation type="list" allowBlank="1" showInputMessage="1" showErrorMessage="1" sqref="B3:B6 B48 B44 B42 B40 B75 B86:B100 B46 B28:B29 B20:B26" xr:uid="{00000000-0002-0000-0000-000000000000}">
      <formula1>"1,2,3,4,5,6,7,8,9,10,11,12,13"</formula1>
    </dataValidation>
  </dataValidation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 Log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Kylie Afable</cp:lastModifiedBy>
  <cp:revision/>
  <dcterms:created xsi:type="dcterms:W3CDTF">2025-06-09T03:50:02Z</dcterms:created>
  <dcterms:modified xsi:type="dcterms:W3CDTF">2025-10-28T10:04:21Z</dcterms:modified>
  <cp:category/>
  <cp:contentStatus/>
</cp:coreProperties>
</file>